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Start Here" sheetId="1" state="visible" r:id="rId3"/>
    <sheet name="Category Summary" sheetId="2" state="visible" r:id="rId4"/>
    <sheet name="Channel Summary" sheetId="3" state="visible" r:id="rId5"/>
    <sheet name="Chart Workspace" sheetId="4" state="visible" r:id="rId6"/>
  </sheets>
  <calcPr iterateCount="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<sst xmlns="http://schemas.openxmlformats.org/spreadsheetml/2006/main" count="82" uniqueCount="72">
  <si>
    <t xml:space="preserve">Lab 2 Chart Choice and Visual Design</t>
  </si>
  <si>
    <t xml:space="preserve">APIO 114 Data Visualization | Semester 2027-01</t>
  </si>
  <si>
    <t xml:space="preserve">Student name</t>
  </si>
  <si>
    <t xml:space="preserve">اروى حمدان الحربي</t>
  </si>
  <si>
    <t xml:space="preserve">Student ID</t>
  </si>
  <si>
    <t xml:space="preserve">2713963</t>
  </si>
  <si>
    <t xml:space="preserve">Duration</t>
  </si>
  <si>
    <t xml:space="preserve">90 minutes</t>
  </si>
  <si>
    <t xml:space="preserve">Primary file</t>
  </si>
  <si>
    <t xml:space="preserve">Lab_02_Chart_Choice_and_Design.xlsx</t>
  </si>
  <si>
    <t xml:space="preserve">Save as</t>
  </si>
  <si>
    <t xml:space="preserve">APIO114_Lab02_StudentID.xlsx</t>
  </si>
  <si>
    <t xml:space="preserve">Submission</t>
  </si>
  <si>
    <t xml:space="preserve">Completed workbook and exported chart or dashboard image</t>
  </si>
  <si>
    <t xml:space="preserve">Full directions</t>
  </si>
  <si>
    <t xml:space="preserve">See APIO114 Lab Manual 2027-01</t>
  </si>
  <si>
    <t xml:space="preserve">Task checklist</t>
  </si>
  <si>
    <t xml:space="preserve">Step</t>
  </si>
  <si>
    <t xml:space="preserve">Required task</t>
  </si>
  <si>
    <t xml:space="preserve">Complete</t>
  </si>
  <si>
    <t xml:space="preserve">Compare category performance with a sorted horizontal bar chart.</t>
  </si>
  <si>
    <t xml:space="preserve">Done</t>
  </si>
  <si>
    <t xml:space="preserve">Show channel composition with a doughnut chart only after confirming part-to-whole meaning.</t>
  </si>
  <si>
    <t xml:space="preserve">Apply Gestalt similarity and proximity to group related elements.</t>
  </si>
  <si>
    <t xml:space="preserve">Use one highlight color and direct labels where useful.</t>
  </si>
  <si>
    <t xml:space="preserve">Create a misleading version, then explain and correct the distortion.</t>
  </si>
  <si>
    <t xml:space="preserve">Category Performance</t>
  </si>
  <si>
    <t xml:space="preserve">Use this summary to create a comparison chart.</t>
  </si>
  <si>
    <t xml:space="preserve">Category</t>
  </si>
  <si>
    <t xml:space="preserve">Revenue SAR</t>
  </si>
  <si>
    <t xml:space="preserve">Orders</t>
  </si>
  <si>
    <t xml:space="preserve">Average Rating</t>
  </si>
  <si>
    <t xml:space="preserve">Beverages</t>
  </si>
  <si>
    <t xml:space="preserve">Snacks</t>
  </si>
  <si>
    <t xml:space="preserve">Meals</t>
  </si>
  <si>
    <t xml:space="preserve">Desserts</t>
  </si>
  <si>
    <t xml:space="preserve">Channel Composition</t>
  </si>
  <si>
    <t xml:space="preserve">Use this part-to-whole data only if the resulting chart remains easy to compare.</t>
  </si>
  <si>
    <t xml:space="preserve">Channel</t>
  </si>
  <si>
    <t xml:space="preserve">Click and Collect</t>
  </si>
  <si>
    <t xml:space="preserve">Delivery</t>
  </si>
  <si>
    <t xml:space="preserve">In Store</t>
  </si>
  <si>
    <t xml:space="preserve">Chart Workspace</t>
  </si>
  <si>
    <t xml:space="preserve">Create the required charts and record your design decisions.</t>
  </si>
  <si>
    <t xml:space="preserve">Chart helper tables – formulas sorted from the summary sheets (source sheets unchanged)</t>
  </si>
  <si>
    <t xml:space="preserve">Chart 1 Revenue by category</t>
  </si>
  <si>
    <t xml:space="preserve">Chart 2 Revenue by channel</t>
  </si>
  <si>
    <t xml:space="preserve">Share</t>
  </si>
  <si>
    <t xml:space="preserve">Channel total</t>
  </si>
  <si>
    <t xml:space="preserve">Category total</t>
  </si>
  <si>
    <t xml:space="preserve">Orders (channels)</t>
  </si>
  <si>
    <t xml:space="preserve">Orders (categories)</t>
  </si>
  <si>
    <t xml:space="preserve">Design decision</t>
  </si>
  <si>
    <t xml:space="preserve">Your explanation</t>
  </si>
  <si>
    <t xml:space="preserve">Chart choice</t>
  </si>
  <si>
    <t xml:space="preserve">Chart 1: horizontal bar chart, because the question is a comparison between categories; bar lengths on a common zero baseline are easy to compare and the category names stay readable. Chart 2: the channels are part-to-whole (they add up to the same total revenue, SAR 35,466, and 480 orders), but the shares are very close (35.4%, 33.4%, 31.2%), so doughnut slices would look almost equal. A sorted bar chart of share is therefore the main Chart 2; the doughnut is kept below as an alternative.</t>
  </si>
  <si>
    <t xml:space="preserve">Order</t>
  </si>
  <si>
    <t xml:space="preserve">Chart 1 is sorted from highest revenue (Meals, SAR 11,864) to lowest (Snacks, SAR 6,567), so bar length and labels show the same ranking. Chart 2 is sorted from the largest share (Click and Collect) to the smallest (In Store), so the largest channel is found in under five seconds.</t>
  </si>
  <si>
    <t xml:space="preserve">Color</t>
  </si>
  <si>
    <t xml:space="preserve">One neutral grey-blue hue for all bars (Gestalt similarity: same color = same kind of item). Only the item named in each title is highlighted in dark blue (Meals in Chart 1, Click and Collect in Chart 2) as the single preattentive accent. Flat colors, no gradients or 3D.</t>
  </si>
  <si>
    <t xml:space="preserve">Labels and scale</t>
  </si>
  <si>
    <t xml:space="preserve">Values are labelled directly at the end of each bar (Gestalt proximity), so the legend was removed because it only repeated the labels. Both value axes start at zero (SAR 0 and 0%) so bar length is proportional to the value; gridlines and chart junk were removed.</t>
  </si>
  <si>
    <t xml:space="preserve">Chart 2 alternative – doughnut (part-to-whole confirmed)</t>
  </si>
  <si>
    <t xml:space="preserve">Part-to-whole confirmed: the three channels make up 100% of revenue and every order belongs to one channel. Doughnut rules applied: all three channels kept, slices sorted largest first from 12 o'clock, percentage labels on the slices, one highlight color, no gradient, 3D or exploded slices. Because the slices are nearly equal, the sorted bar chart above is used as the main Chart 2.</t>
  </si>
  <si>
    <t xml:space="preserve">Misleading chart – diagnose and repair</t>
  </si>
  <si>
    <t xml:space="preserve">A) Misleading version: duplicate of the channel chart with the value axis truncated at SAR 10,000 (not a final chart)</t>
  </si>
  <si>
    <t xml:space="preserve">B) Corrected version: axis starts at zero (retained for submission)</t>
  </si>
  <si>
    <t xml:space="preserve">How the change distorts perception</t>
  </si>
  <si>
    <t xml:space="preserve">Because the value axis starts at SAR 10,000 instead of 0, the visible part of the Click and Collect bar (about 2,557) is about 2.4 times the In Store bar (about 1,072), so Click and Collect looks more than twice as large even though its revenue is only about 13% higher (SAR 12,557 vs SAR 11,072).</t>
  </si>
  <si>
    <t xml:space="preserve">Viewers judge bars by their length rather than by reading the axis numbers, so the truncated axis exaggerates small differences and makes In Store look like a weak channel when all three channels are actually close.</t>
  </si>
  <si>
    <t xml:space="preserve">How it was corrected</t>
  </si>
  <si>
    <t xml:space="preserve">The axis minimum was reset to 0, the bars were sorted from largest to smallest, values were labelled directly, the title was rewritten to state the real finding, and only the leading channel is highlighted. The corrected chart is kept for submission.</t>
  </si>
</sst>
</file>

<file path=xl/styles.xml><?xml version="1.0" encoding="utf-8"?>
<styleSheet xmlns="http://schemas.openxmlformats.org/spreadsheetml/2006/main">
  <numFmts count="4">
    <numFmt numFmtId="164" formatCode="General"/>
    <numFmt numFmtId="165" formatCode="&quot;SAR &quot;#,##0"/>
    <numFmt numFmtId="166" formatCode="0.00"/>
    <numFmt numFmtId="167" formatCode="0.0%"/>
  </numFmts>
  <fonts count="18">
    <font>
      <sz val="11"/>
      <name val="Calibri"/>
      <family val="0"/>
      <charset val="1"/>
    </font>
    <font>
      <sz val="10"/>
      <name val="Arial"/>
      <family val="0"/>
    </font>
    <font>
      <sz val="10"/>
      <name val="Arial"/>
      <family val="0"/>
    </font>
    <font>
      <sz val="10"/>
      <name val="Arial"/>
      <family val="0"/>
    </font>
    <font>
      <b val="true"/>
      <sz val="10"/>
      <color rgb="FF222222"/>
      <name val="Arial"/>
      <family val="2"/>
      <charset val="1"/>
    </font>
    <font>
      <i val="true"/>
      <sz val="10"/>
      <color rgb="FF222222"/>
      <name val="Arial"/>
      <family val="2"/>
      <charset val="1"/>
    </font>
    <font>
      <b val="true"/>
      <sz val="10"/>
      <color rgb="FFFFFFFF"/>
      <name val="Arial"/>
      <family val="2"/>
      <charset val="1"/>
    </font>
    <font>
      <sz val="10"/>
      <color rgb="FF222222"/>
      <name val="Arial"/>
      <family val="2"/>
      <charset val="1"/>
    </font>
    <font>
      <b val="true"/>
      <sz val="11"/>
      <color rgb="FF222222"/>
      <name val="Arial"/>
      <family val="2"/>
      <charset val="1"/>
    </font>
    <font>
      <i val="true"/>
      <sz val="9"/>
      <name val="Arial"/>
      <family val="0"/>
      <charset val="1"/>
    </font>
    <font>
      <b val="true"/>
      <sz val="11"/>
      <name val="Arial"/>
      <family val="2"/>
      <charset val="1"/>
    </font>
    <font>
      <sz val="10"/>
      <name val="Arial"/>
      <family val="0"/>
      <charset val="1"/>
    </font>
    <font>
      <b val="true"/>
      <sz val="10"/>
      <color rgb="FFC00000"/>
      <name val="Arial"/>
      <family val="0"/>
      <charset val="1"/>
    </font>
    <font>
      <b val="true"/>
      <sz val="10"/>
      <color rgb="FF008000"/>
      <name val="Arial"/>
      <family val="0"/>
      <charset val="1"/>
    </font>
    <font>
      <b val="true"/>
      <sz val="10"/>
      <name val="Arial"/>
      <family val="0"/>
      <charset val="1"/>
    </font>
    <font>
      <b val="true"/>
      <sz val="18"/>
      <color rgb="FF000000"/>
      <name val="Calibri"/>
      <family val="2"/>
    </font>
    <font>
      <sz val="10"/>
      <color rgb="FF000000"/>
      <name val="Calibri"/>
      <family val="2"/>
    </font>
    <font>
      <b val="true"/>
      <sz val="10"/>
      <color rgb="FF000000"/>
      <name val="Calibri"/>
      <family val="2"/>
    </font>
  </fonts>
  <fills count="5">
    <fill>
      <patternFill patternType="none"/>
    </fill>
    <fill>
      <patternFill patternType="gray125"/>
    </fill>
    <fill>
      <patternFill patternType="solid">
        <fgColor rgb="FF17365D"/>
        <bgColor rgb="FF333399"/>
      </patternFill>
    </fill>
    <fill>
      <patternFill patternType="solid">
        <fgColor rgb="FFD9EAF7"/>
        <bgColor rgb="FFE2F0D9"/>
      </patternFill>
    </fill>
    <fill>
      <patternFill patternType="solid">
        <fgColor rgb="FFFAFAFA"/>
        <bgColor rgb="FFFFFFFF"/>
      </patternFill>
    </fill>
  </fills>
  <borders count="15">
    <border diagonalUp="false" diagonalDown="false">
      <left/>
      <right/>
      <top/>
      <bottom/>
      <diagonal/>
    </border>
    <border diagonalUp="false" diagonalDown="false">
      <left style="thin">
        <color rgb="FFFFFFFF"/>
      </left>
      <right style="thin">
        <color rgb="FFFFFFFF"/>
      </right>
      <top style="thin">
        <color rgb="FFFFFFFF"/>
      </top>
      <bottom style="thin">
        <color rgb="FFFFFFFF"/>
      </bottom>
      <diagonal/>
    </border>
    <border diagonalUp="false" diagonalDown="false">
      <left/>
      <right/>
      <top style="thin">
        <color rgb="FFD9D9D9"/>
      </top>
      <bottom style="thin">
        <color rgb="FFD9D9D9"/>
      </bottom>
      <diagonal/>
    </border>
    <border diagonalUp="false" diagonalDown="false">
      <left/>
      <right/>
      <top/>
      <bottom style="thin">
        <color rgb="FF17365D"/>
      </bottom>
      <diagonal/>
    </border>
    <border diagonalUp="false" diagonalDown="false">
      <left/>
      <right/>
      <top/>
      <bottom style="thin">
        <color rgb="FFD9D9D9"/>
      </bottom>
      <diagonal/>
    </border>
    <border diagonalUp="false" diagonalDown="false">
      <left/>
      <right/>
      <top style="thin">
        <color rgb="FFD9D9D9"/>
      </top>
      <bottom/>
      <diagonal/>
    </border>
    <border diagonalUp="false" diagonalDown="false">
      <left/>
      <right style="thin">
        <color rgb="FFD9D9D9"/>
      </right>
      <top/>
      <bottom style="thin">
        <color rgb="FFD9D9D9"/>
      </bottom>
      <diagonal/>
    </border>
    <border diagonalUp="false" diagonalDown="false">
      <left style="thin">
        <color rgb="FFD9D9D9"/>
      </left>
      <right style="thin">
        <color rgb="FFD9D9D9"/>
      </right>
      <top/>
      <bottom style="thin">
        <color rgb="FFD9D9D9"/>
      </bottom>
      <diagonal/>
    </border>
    <border diagonalUp="false" diagonalDown="false">
      <left style="thin">
        <color rgb="FFD9D9D9"/>
      </left>
      <right/>
      <top/>
      <bottom style="thin">
        <color rgb="FFD9D9D9"/>
      </bottom>
      <diagonal/>
    </border>
    <border diagonalUp="false" diagonalDown="false">
      <left/>
      <right style="thin">
        <color rgb="FFD9D9D9"/>
      </right>
      <top style="thin">
        <color rgb="FFD9D9D9"/>
      </top>
      <bottom style="thin">
        <color rgb="FFD9D9D9"/>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style="thin">
        <color rgb="FFD9D9D9"/>
      </left>
      <right/>
      <top style="thin">
        <color rgb="FFD9D9D9"/>
      </top>
      <bottom style="thin">
        <color rgb="FFD9D9D9"/>
      </bottom>
      <diagonal/>
    </border>
    <border diagonalUp="false" diagonalDown="false">
      <left/>
      <right style="thin">
        <color rgb="FFD9D9D9"/>
      </right>
      <top style="thin">
        <color rgb="FFD9D9D9"/>
      </top>
      <bottom/>
      <diagonal/>
    </border>
    <border diagonalUp="false" diagonalDown="false">
      <left style="thin">
        <color rgb="FFD9D9D9"/>
      </left>
      <right style="thin">
        <color rgb="FFD9D9D9"/>
      </right>
      <top style="thin">
        <color rgb="FFD9D9D9"/>
      </top>
      <bottom/>
      <diagonal/>
    </border>
    <border diagonalUp="false" diagonalDown="false">
      <left style="thin">
        <color rgb="FFD9D9D9"/>
      </left>
      <right/>
      <top style="thin">
        <color rgb="FFD9D9D9"/>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0" borderId="2" xfId="0" applyFont="true" applyBorder="true" applyAlignment="true" applyProtection="false">
      <alignment horizontal="left" vertical="center" textRotation="0" wrapText="false" indent="0" shrinkToFit="false"/>
      <protection locked="true" hidden="false"/>
    </xf>
    <xf numFmtId="164" fontId="7" fillId="0" borderId="3" xfId="0" applyFont="true" applyBorder="true" applyAlignment="false" applyProtection="false">
      <alignment horizontal="general" vertical="bottom" textRotation="0" wrapText="false" indent="0" shrinkToFit="false"/>
      <protection locked="true" hidden="false"/>
    </xf>
    <xf numFmtId="164" fontId="7" fillId="0" borderId="4" xfId="0" applyFont="true" applyBorder="true" applyAlignment="true" applyProtection="false">
      <alignment horizontal="general" vertical="center" textRotation="0" wrapText="false" indent="0" shrinkToFit="false"/>
      <protection locked="true" hidden="false"/>
    </xf>
    <xf numFmtId="164" fontId="7" fillId="0" borderId="2" xfId="0" applyFont="true" applyBorder="true" applyAlignment="true" applyProtection="false">
      <alignment horizontal="general" vertical="center" textRotation="0" wrapText="false" indent="0" shrinkToFit="false"/>
      <protection locked="true" hidden="false"/>
    </xf>
    <xf numFmtId="164" fontId="7" fillId="0" borderId="5" xfId="0" applyFont="true" applyBorder="true" applyAlignment="true" applyProtection="false">
      <alignment horizontal="general" vertical="center" textRotation="0" wrapText="false" indent="0" shrinkToFit="false"/>
      <protection locked="true" hidden="false"/>
    </xf>
    <xf numFmtId="164" fontId="8" fillId="3" borderId="0" xfId="0" applyFont="true" applyBorder="true" applyAlignment="false" applyProtection="false">
      <alignment horizontal="general" vertical="bottom" textRotation="0" wrapText="false" indent="0" shrinkToFit="false"/>
      <protection locked="true" hidden="false"/>
    </xf>
    <xf numFmtId="164" fontId="7" fillId="0" borderId="6" xfId="0" applyFont="true" applyBorder="true" applyAlignment="true" applyProtection="false">
      <alignment horizontal="general" vertical="center" textRotation="0" wrapText="false" indent="0" shrinkToFit="false"/>
      <protection locked="true" hidden="false"/>
    </xf>
    <xf numFmtId="164" fontId="7" fillId="0" borderId="7" xfId="0" applyFont="true" applyBorder="true" applyAlignment="true" applyProtection="false">
      <alignment horizontal="general" vertical="center" textRotation="0" wrapText="false" indent="0" shrinkToFit="false"/>
      <protection locked="true" hidden="false"/>
    </xf>
    <xf numFmtId="164" fontId="7" fillId="0" borderId="8" xfId="0" applyFont="true" applyBorder="true" applyAlignment="true" applyProtection="false">
      <alignment horizontal="general" vertical="center" textRotation="0" wrapText="false" indent="0" shrinkToFit="false"/>
      <protection locked="true" hidden="false"/>
    </xf>
    <xf numFmtId="164" fontId="7" fillId="0" borderId="9" xfId="0" applyFont="true" applyBorder="true" applyAlignment="true" applyProtection="false">
      <alignment horizontal="general" vertical="center" textRotation="0" wrapText="false" indent="0" shrinkToFit="false"/>
      <protection locked="true" hidden="false"/>
    </xf>
    <xf numFmtId="164" fontId="7" fillId="0" borderId="10" xfId="0" applyFont="true" applyBorder="true" applyAlignment="true" applyProtection="false">
      <alignment horizontal="general" vertical="center" textRotation="0" wrapText="false" indent="0" shrinkToFit="false"/>
      <protection locked="true" hidden="false"/>
    </xf>
    <xf numFmtId="164" fontId="7" fillId="0" borderId="11" xfId="0" applyFont="true" applyBorder="true" applyAlignment="true" applyProtection="false">
      <alignment horizontal="general" vertical="center" textRotation="0" wrapText="false" indent="0" shrinkToFit="false"/>
      <protection locked="true" hidden="false"/>
    </xf>
    <xf numFmtId="164" fontId="7" fillId="0" borderId="12" xfId="0" applyFont="true" applyBorder="true" applyAlignment="true" applyProtection="false">
      <alignment horizontal="general" vertical="center" textRotation="0" wrapText="false" indent="0" shrinkToFit="false"/>
      <protection locked="true" hidden="false"/>
    </xf>
    <xf numFmtId="164" fontId="7" fillId="0" borderId="13" xfId="0" applyFont="true" applyBorder="true" applyAlignment="true" applyProtection="false">
      <alignment horizontal="general" vertical="center" textRotation="0" wrapText="false" indent="0" shrinkToFit="false"/>
      <protection locked="true" hidden="false"/>
    </xf>
    <xf numFmtId="164" fontId="7" fillId="0" borderId="14" xfId="0" applyFont="true" applyBorder="true" applyAlignment="true" applyProtection="false">
      <alignment horizontal="general" vertical="center" textRotation="0" wrapText="false" indent="0" shrinkToFit="false"/>
      <protection locked="true" hidden="false"/>
    </xf>
    <xf numFmtId="165" fontId="7" fillId="0" borderId="7" xfId="0" applyFont="true" applyBorder="true" applyAlignment="true" applyProtection="false">
      <alignment horizontal="general" vertical="center" textRotation="0" wrapText="false" indent="0" shrinkToFit="false"/>
      <protection locked="true" hidden="false"/>
    </xf>
    <xf numFmtId="166" fontId="7" fillId="0" borderId="8" xfId="0" applyFont="true" applyBorder="true" applyAlignment="true" applyProtection="false">
      <alignment horizontal="general" vertical="center" textRotation="0" wrapText="false" indent="0" shrinkToFit="false"/>
      <protection locked="true" hidden="false"/>
    </xf>
    <xf numFmtId="165" fontId="7" fillId="0" borderId="10" xfId="0" applyFont="true" applyBorder="true" applyAlignment="true" applyProtection="false">
      <alignment horizontal="general" vertical="center" textRotation="0" wrapText="false" indent="0" shrinkToFit="false"/>
      <protection locked="true" hidden="false"/>
    </xf>
    <xf numFmtId="166" fontId="7" fillId="0" borderId="11" xfId="0" applyFont="true" applyBorder="true" applyAlignment="true" applyProtection="false">
      <alignment horizontal="general" vertical="center" textRotation="0" wrapText="false" indent="0" shrinkToFit="false"/>
      <protection locked="true" hidden="false"/>
    </xf>
    <xf numFmtId="165" fontId="7" fillId="0" borderId="13" xfId="0" applyFont="true" applyBorder="true" applyAlignment="true" applyProtection="false">
      <alignment horizontal="general" vertical="center" textRotation="0" wrapText="false" indent="0" shrinkToFit="false"/>
      <protection locked="true" hidden="false"/>
    </xf>
    <xf numFmtId="166" fontId="7" fillId="0" borderId="14" xfId="0" applyFont="true" applyBorder="true" applyAlignment="true" applyProtection="false">
      <alignment horizontal="general" vertical="center"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true" applyAlignment="false" applyProtection="false">
      <alignment horizontal="general"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7" fontId="11" fillId="0" borderId="0" xfId="0" applyFont="true" applyBorder="false" applyAlignment="false" applyProtection="false">
      <alignment horizontal="general" vertical="bottom" textRotation="0" wrapText="false" indent="0" shrinkToFit="false"/>
      <protection locked="true" hidden="false"/>
    </xf>
    <xf numFmtId="164" fontId="7" fillId="0" borderId="6" xfId="0" applyFont="true" applyBorder="true" applyAlignment="true" applyProtection="false">
      <alignment horizontal="general" vertical="top" textRotation="0" wrapText="false" indent="0" shrinkToFit="false"/>
      <protection locked="true" hidden="false"/>
    </xf>
    <xf numFmtId="164" fontId="7" fillId="0" borderId="8" xfId="0" applyFont="true" applyBorder="true" applyAlignment="true" applyProtection="false">
      <alignment horizontal="general" vertical="top" textRotation="0" wrapText="true" indent="0" shrinkToFit="false"/>
      <protection locked="true" hidden="false"/>
    </xf>
    <xf numFmtId="164" fontId="7" fillId="0" borderId="9" xfId="0" applyFont="true" applyBorder="true" applyAlignment="true" applyProtection="false">
      <alignment horizontal="general" vertical="top" textRotation="0" wrapText="false" indent="0" shrinkToFit="false"/>
      <protection locked="true" hidden="false"/>
    </xf>
    <xf numFmtId="164" fontId="7" fillId="0" borderId="11" xfId="0" applyFont="true" applyBorder="true" applyAlignment="true" applyProtection="false">
      <alignment horizontal="general" vertical="top" textRotation="0" wrapText="true" indent="0" shrinkToFit="false"/>
      <protection locked="true" hidden="false"/>
    </xf>
    <xf numFmtId="164" fontId="7" fillId="0" borderId="12" xfId="0" applyFont="true" applyBorder="true" applyAlignment="true" applyProtection="false">
      <alignment horizontal="general" vertical="top" textRotation="0" wrapText="false" indent="0" shrinkToFit="false"/>
      <protection locked="true" hidden="false"/>
    </xf>
    <xf numFmtId="164" fontId="7" fillId="0" borderId="14" xfId="0" applyFont="true" applyBorder="true" applyAlignment="true" applyProtection="false">
      <alignment horizontal="general" vertical="top" textRotation="0" wrapText="tru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ont>
        <b val="1"/>
        <color rgb="FF375623"/>
      </font>
      <fill>
        <patternFill>
          <bgColor rgb="FFE2F0D9"/>
        </patternFill>
      </fill>
    </dxf>
    <dxf>
      <fill>
        <patternFill patternType="solid">
          <fgColor rgb="FF17365D"/>
          <bgColor rgb="FF000000"/>
        </patternFill>
      </fill>
    </dxf>
    <dxf>
      <fill>
        <patternFill patternType="solid">
          <bgColor rgb="FF000000"/>
        </patternFill>
      </fill>
    </dxf>
    <dxf>
      <fill>
        <patternFill patternType="solid">
          <fgColor rgb="FF222222"/>
          <bgColor rgb="FF000000"/>
        </patternFill>
      </fill>
    </dxf>
    <dxf>
      <fill>
        <patternFill patternType="solid">
          <fgColor rgb="FFFFFF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156082"/>
      <rgbColor rgb="FFA9B7C9"/>
      <rgbColor rgb="FF8B8B8B"/>
      <rgbColor rgb="FF9999FF"/>
      <rgbColor rgb="FF993366"/>
      <rgbColor rgb="FFFAFAFA"/>
      <rgbColor rgb="FFD9EAF7"/>
      <rgbColor rgb="FF660066"/>
      <rgbColor rgb="FFFF8080"/>
      <rgbColor rgb="FF1F5C8B"/>
      <rgbColor rgb="FFD5DCE6"/>
      <rgbColor rgb="FF000080"/>
      <rgbColor rgb="FFFF00FF"/>
      <rgbColor rgb="FFFFFF00"/>
      <rgbColor rgb="FF00FFFF"/>
      <rgbColor rgb="FF800080"/>
      <rgbColor rgb="FF800000"/>
      <rgbColor rgb="FF008080"/>
      <rgbColor rgb="FF0000FF"/>
      <rgbColor rgb="FF00CCFF"/>
      <rgbColor rgb="FFCCFFFF"/>
      <rgbColor rgb="FFE2F0D9"/>
      <rgbColor rgb="FFFFFF99"/>
      <rgbColor rgb="FF99CCFF"/>
      <rgbColor rgb="FFFF99CC"/>
      <rgbColor rgb="FFCC99FF"/>
      <rgbColor rgb="FFD9D9D9"/>
      <rgbColor rgb="FF4472C4"/>
      <rgbColor rgb="FF33CCCC"/>
      <rgbColor rgb="FF99CC00"/>
      <rgbColor rgb="FFE6B800"/>
      <rgbColor rgb="FFFF9900"/>
      <rgbColor rgb="FFFF6600"/>
      <rgbColor rgb="FF666699"/>
      <rgbColor rgb="FF969696"/>
      <rgbColor rgb="FF17365D"/>
      <rgbColor rgb="FF339966"/>
      <rgbColor rgb="FF003300"/>
      <rgbColor rgb="FF375623"/>
      <rgbColor rgb="FF993300"/>
      <rgbColor rgb="FF993366"/>
      <rgbColor rgb="FF333399"/>
      <rgbColor rgb="FF222222"/>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ea typeface="Calibri"/>
              </a:defRPr>
            </a:pPr>
            <a:r>
              <a:rPr b="1" sz="1800" spc="-1" strike="noStrike">
                <a:solidFill>
                  <a:srgbClr val="000000"/>
                </a:solidFill>
                <a:latin typeface="Calibri"/>
                <a:ea typeface="Calibri"/>
              </a:rPr>
              <a:t>Meals earn the highest revenue of all categories</a:t>
            </a:r>
          </a:p>
        </c:rich>
      </c:tx>
      <c:overlay val="0"/>
      <c:spPr>
        <a:noFill/>
        <a:ln w="0">
          <a:noFill/>
        </a:ln>
      </c:spPr>
    </c:title>
    <c:autoTitleDeleted val="0"/>
    <c:plotArea>
      <c:barChart>
        <c:barDir val="bar"/>
        <c:grouping val="clustered"/>
        <c:varyColors val="0"/>
        <c:ser>
          <c:idx val="0"/>
          <c:order val="0"/>
          <c:tx>
            <c:strRef>
              <c:f>'Chart Workspace'!Q5</c:f>
              <c:strCache>
                <c:ptCount val="1"/>
                <c:pt idx="0">
                  <c:v>Revenue SAR</c:v>
                </c:pt>
              </c:strCache>
            </c:strRef>
          </c:tx>
          <c:spPr>
            <a:solidFill>
              <a:srgbClr val="a9b7c9"/>
            </a:solidFill>
            <a:ln w="0">
              <a:solidFill>
                <a:srgbClr val="a9b7c9"/>
              </a:solidFill>
            </a:ln>
          </c:spPr>
          <c:invertIfNegative val="0"/>
          <c:dPt>
            <c:idx val="3"/>
            <c:invertIfNegative val="0"/>
            <c:spPr>
              <a:solidFill>
                <a:srgbClr val="1f5c8b"/>
              </a:solidFill>
              <a:ln w="0">
                <a:solidFill>
                  <a:srgbClr val="1f5c8b"/>
                </a:solidFill>
              </a:ln>
            </c:spPr>
          </c:dPt>
          <c:dLbls>
            <c:numFmt formatCode="&quot;SAR &quot;#,##0" sourceLinked="1"/>
            <c:dLbl>
              <c:idx val="3"/>
              <c:numFmt formatCode="&quot;SAR &quot;#,##0"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dLbl>
            <c:txPr>
              <a:bodyPr wrap="square"/>
              <a:lstStyle/>
              <a:p>
                <a:pPr>
                  <a:defRPr b="0" sz="1000" spc="-1" strike="noStrike">
                    <a:solidFill>
                      <a:srgbClr val="000000"/>
                    </a:solidFill>
                    <a:latin typeface="Calibri"/>
                    <a:ea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'Chart Workspace'!$P$6:$P$9</c:f>
              <c:strCache>
                <c:ptCount val="4"/>
                <c:pt idx="0">
                  <c:v>Snacks</c:v>
                </c:pt>
                <c:pt idx="1">
                  <c:v>Beverages</c:v>
                </c:pt>
                <c:pt idx="2">
                  <c:v>Desserts</c:v>
                </c:pt>
                <c:pt idx="3">
                  <c:v>Meals</c:v>
                </c:pt>
              </c:strCache>
            </c:strRef>
          </c:cat>
          <c:val>
            <c:numRef>
              <c:f>'Chart Workspace'!$Q$6:$Q$9</c:f>
              <c:numCache>
                <c:formatCode>"SAR "#,##0</c:formatCode>
                <c:ptCount val="4"/>
                <c:pt idx="0">
                  <c:v>6567</c:v>
                </c:pt>
                <c:pt idx="1">
                  <c:v>6993.6</c:v>
                </c:pt>
                <c:pt idx="2">
                  <c:v>10041.7</c:v>
                </c:pt>
                <c:pt idx="3">
                  <c:v>11863.8</c:v>
                </c:pt>
              </c:numCache>
            </c:numRef>
          </c:val>
        </c:ser>
        <c:gapWidth val="55"/>
        <c:overlap val="0"/>
        <c:axId val="56352799"/>
        <c:axId val="89909192"/>
      </c:barChart>
      <c:catAx>
        <c:axId val="56352799"/>
        <c:scaling>
          <c:orientation val="minMax"/>
        </c:scaling>
        <c:delete val="0"/>
        <c:axPos val="b"/>
        <c:numFmt formatCode="General" sourceLinked="1"/>
        <c:majorTickMark val="none"/>
        <c:minorTickMark val="none"/>
        <c:tickLblPos val="nextTo"/>
        <c:spPr>
          <a:ln w="12600">
            <a:solidFill>
              <a:srgbClr val="8b8b8b"/>
            </a:solidFill>
            <a:round/>
          </a:ln>
        </c:spPr>
        <c:txPr>
          <a:bodyPr/>
          <a:lstStyle/>
          <a:p>
            <a:pPr>
              <a:defRPr b="0" sz="1000" spc="-1" strike="noStrike">
                <a:solidFill>
                  <a:srgbClr val="000000"/>
                </a:solidFill>
                <a:latin typeface="Calibri"/>
                <a:ea typeface="Calibri"/>
              </a:defRPr>
            </a:pPr>
          </a:p>
        </c:txPr>
        <c:crossAx val="89909192"/>
        <c:crosses val="autoZero"/>
        <c:auto val="1"/>
        <c:lblAlgn val="ctr"/>
        <c:lblOffset val="100"/>
        <c:noMultiLvlLbl val="0"/>
      </c:catAx>
      <c:valAx>
        <c:axId val="89909192"/>
        <c:scaling>
          <c:orientation val="minMax"/>
          <c:min val="0"/>
        </c:scaling>
        <c:delete val="0"/>
        <c:axPos val="l"/>
        <c:title>
          <c:tx>
            <c:rich>
              <a:bodyPr rot="0"/>
              <a:lstStyle/>
              <a:p>
                <a:pPr>
                  <a:defRPr b="1" sz="1000" spc="-1" strike="noStrike">
                    <a:solidFill>
                      <a:srgbClr val="000000"/>
                    </a:solidFill>
                    <a:latin typeface="Calibri"/>
                    <a:ea typeface="Calibri"/>
                  </a:defRPr>
                </a:pPr>
                <a:r>
                  <a:rPr b="1" sz="1000" spc="-1" strike="noStrike">
                    <a:solidFill>
                      <a:srgbClr val="000000"/>
                    </a:solidFill>
                    <a:latin typeface="Calibri"/>
                    <a:ea typeface="Calibri"/>
                  </a:rPr>
                  <a:t>Revenue (SAR)</a:t>
                </a:r>
              </a:p>
            </c:rich>
          </c:tx>
          <c:overlay val="0"/>
          <c:spPr>
            <a:noFill/>
            <a:ln w="0">
              <a:noFill/>
            </a:ln>
          </c:spPr>
        </c:title>
        <c:numFmt formatCode="&quot;SAR &quot;#,##0" sourceLinked="0"/>
        <c:majorTickMark val="none"/>
        <c:minorTickMark val="none"/>
        <c:tickLblPos val="nextTo"/>
        <c:spPr>
          <a:ln w="12600">
            <a:solidFill>
              <a:srgbClr val="8b8b8b"/>
            </a:solidFill>
            <a:round/>
          </a:ln>
        </c:spPr>
        <c:txPr>
          <a:bodyPr/>
          <a:lstStyle/>
          <a:p>
            <a:pPr>
              <a:defRPr b="0" sz="1000" spc="-1" strike="noStrike">
                <a:solidFill>
                  <a:srgbClr val="000000"/>
                </a:solidFill>
                <a:latin typeface="Calibri"/>
                <a:ea typeface="Calibri"/>
              </a:defRPr>
            </a:pPr>
          </a:p>
        </c:txPr>
        <c:crossAx val="56352799"/>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ea typeface="Calibri"/>
              </a:defRPr>
            </a:pPr>
            <a:r>
              <a:rPr b="1" sz="1800" spc="-1" strike="noStrike">
                <a:solidFill>
                  <a:srgbClr val="000000"/>
                </a:solidFill>
                <a:latin typeface="Calibri"/>
                <a:ea typeface="Calibri"/>
              </a:rPr>
              <a:t>Click and Collect leads, but all three channels are close</a:t>
            </a:r>
          </a:p>
        </c:rich>
      </c:tx>
      <c:overlay val="0"/>
      <c:spPr>
        <a:noFill/>
        <a:ln w="0">
          <a:noFill/>
        </a:ln>
      </c:spPr>
    </c:title>
    <c:autoTitleDeleted val="0"/>
    <c:plotArea>
      <c:barChart>
        <c:barDir val="bar"/>
        <c:grouping val="clustered"/>
        <c:varyColors val="0"/>
        <c:ser>
          <c:idx val="0"/>
          <c:order val="0"/>
          <c:tx>
            <c:strRef>
              <c:f>'Chart Workspace'!R11</c:f>
              <c:strCache>
                <c:ptCount val="1"/>
                <c:pt idx="0">
                  <c:v>Share</c:v>
                </c:pt>
              </c:strCache>
            </c:strRef>
          </c:tx>
          <c:spPr>
            <a:solidFill>
              <a:srgbClr val="a9b7c9"/>
            </a:solidFill>
            <a:ln w="0">
              <a:solidFill>
                <a:srgbClr val="a9b7c9"/>
              </a:solidFill>
            </a:ln>
          </c:spPr>
          <c:invertIfNegative val="0"/>
          <c:dPt>
            <c:idx val="2"/>
            <c:invertIfNegative val="0"/>
            <c:spPr>
              <a:solidFill>
                <a:srgbClr val="1f5c8b"/>
              </a:solidFill>
              <a:ln w="0">
                <a:solidFill>
                  <a:srgbClr val="1f5c8b"/>
                </a:solidFill>
              </a:ln>
            </c:spPr>
          </c:dPt>
          <c:dLbls>
            <c:numFmt formatCode="0.0%" sourceLinked="1"/>
            <c:dLbl>
              <c:idx val="2"/>
              <c:numFmt formatCode="0.0%"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dLbl>
            <c:txPr>
              <a:bodyPr wrap="square"/>
              <a:lstStyle/>
              <a:p>
                <a:pPr>
                  <a:defRPr b="0" sz="1000" spc="-1" strike="noStrike">
                    <a:solidFill>
                      <a:srgbClr val="000000"/>
                    </a:solidFill>
                    <a:latin typeface="Calibri"/>
                    <a:ea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'Chart Workspace'!$P$12:$P$14</c:f>
              <c:strCache>
                <c:ptCount val="3"/>
                <c:pt idx="0">
                  <c:v>In Store</c:v>
                </c:pt>
                <c:pt idx="1">
                  <c:v>Delivery</c:v>
                </c:pt>
                <c:pt idx="2">
                  <c:v>Click and Collect</c:v>
                </c:pt>
              </c:strCache>
            </c:strRef>
          </c:cat>
          <c:val>
            <c:numRef>
              <c:f>'Chart Workspace'!$R$12:$R$14</c:f>
              <c:numCache>
                <c:formatCode>0.0%</c:formatCode>
                <c:ptCount val="3"/>
                <c:pt idx="0">
                  <c:v>0.312179799865223</c:v>
                </c:pt>
                <c:pt idx="1">
                  <c:v>0.33377506971446</c:v>
                </c:pt>
                <c:pt idx="2">
                  <c:v>0.354045130420317</c:v>
                </c:pt>
              </c:numCache>
            </c:numRef>
          </c:val>
        </c:ser>
        <c:gapWidth val="55"/>
        <c:overlap val="0"/>
        <c:axId val="18387022"/>
        <c:axId val="12097278"/>
      </c:barChart>
      <c:catAx>
        <c:axId val="18387022"/>
        <c:scaling>
          <c:orientation val="minMax"/>
        </c:scaling>
        <c:delete val="0"/>
        <c:axPos val="b"/>
        <c:numFmt formatCode="General" sourceLinked="1"/>
        <c:majorTickMark val="none"/>
        <c:minorTickMark val="none"/>
        <c:tickLblPos val="nextTo"/>
        <c:spPr>
          <a:ln w="12600">
            <a:solidFill>
              <a:srgbClr val="8b8b8b"/>
            </a:solidFill>
            <a:round/>
          </a:ln>
        </c:spPr>
        <c:txPr>
          <a:bodyPr/>
          <a:lstStyle/>
          <a:p>
            <a:pPr>
              <a:defRPr b="0" sz="1000" spc="-1" strike="noStrike">
                <a:solidFill>
                  <a:srgbClr val="000000"/>
                </a:solidFill>
                <a:latin typeface="Calibri"/>
                <a:ea typeface="Calibri"/>
              </a:defRPr>
            </a:pPr>
          </a:p>
        </c:txPr>
        <c:crossAx val="12097278"/>
        <c:crosses val="autoZero"/>
        <c:auto val="1"/>
        <c:lblAlgn val="ctr"/>
        <c:lblOffset val="100"/>
        <c:noMultiLvlLbl val="0"/>
      </c:catAx>
      <c:valAx>
        <c:axId val="12097278"/>
        <c:scaling>
          <c:orientation val="minMax"/>
          <c:min val="0"/>
        </c:scaling>
        <c:delete val="0"/>
        <c:axPos val="l"/>
        <c:title>
          <c:tx>
            <c:rich>
              <a:bodyPr rot="0"/>
              <a:lstStyle/>
              <a:p>
                <a:pPr>
                  <a:defRPr b="1" sz="1000" spc="-1" strike="noStrike">
                    <a:solidFill>
                      <a:srgbClr val="000000"/>
                    </a:solidFill>
                    <a:latin typeface="Calibri"/>
                    <a:ea typeface="Calibri"/>
                  </a:defRPr>
                </a:pPr>
                <a:r>
                  <a:rPr b="1" sz="1000" spc="-1" strike="noStrike">
                    <a:solidFill>
                      <a:srgbClr val="000000"/>
                    </a:solidFill>
                    <a:latin typeface="Calibri"/>
                    <a:ea typeface="Calibri"/>
                  </a:rPr>
                  <a:t>Share of total revenue</a:t>
                </a:r>
              </a:p>
            </c:rich>
          </c:tx>
          <c:overlay val="0"/>
          <c:spPr>
            <a:noFill/>
            <a:ln w="0">
              <a:noFill/>
            </a:ln>
          </c:spPr>
        </c:title>
        <c:numFmt formatCode="0.0%" sourceLinked="0"/>
        <c:majorTickMark val="none"/>
        <c:minorTickMark val="none"/>
        <c:tickLblPos val="nextTo"/>
        <c:spPr>
          <a:ln w="12600">
            <a:solidFill>
              <a:srgbClr val="8b8b8b"/>
            </a:solidFill>
            <a:round/>
          </a:ln>
        </c:spPr>
        <c:txPr>
          <a:bodyPr/>
          <a:lstStyle/>
          <a:p>
            <a:pPr>
              <a:defRPr b="0" sz="1000" spc="-1" strike="noStrike">
                <a:solidFill>
                  <a:srgbClr val="000000"/>
                </a:solidFill>
                <a:latin typeface="Calibri"/>
                <a:ea typeface="Calibri"/>
              </a:defRPr>
            </a:pPr>
          </a:p>
        </c:txPr>
        <c:crossAx val="18387022"/>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ea typeface="Calibri"/>
              </a:defRPr>
            </a:pPr>
            <a:r>
              <a:rPr b="1" sz="1800" spc="-1" strike="noStrike">
                <a:solidFill>
                  <a:srgbClr val="000000"/>
                </a:solidFill>
                <a:latin typeface="Calibri"/>
                <a:ea typeface="Calibri"/>
              </a:rPr>
              <a:t>Revenue share by channel (doughnut)</a:t>
            </a:r>
          </a:p>
        </c:rich>
      </c:tx>
      <c:overlay val="0"/>
      <c:spPr>
        <a:noFill/>
        <a:ln w="0">
          <a:noFill/>
        </a:ln>
      </c:spPr>
    </c:title>
    <c:autoTitleDeleted val="0"/>
    <c:plotArea>
      <c:doughnutChart>
        <c:varyColors val="1"/>
        <c:ser>
          <c:idx val="0"/>
          <c:order val="0"/>
          <c:tx>
            <c:strRef>
              <c:f>'Channel Summary'!B5</c:f>
              <c:strCache>
                <c:ptCount val="1"/>
                <c:pt idx="0">
                  <c:v>Revenue SAR</c:v>
                </c:pt>
              </c:strCache>
            </c:strRef>
          </c:tx>
          <c:spPr>
            <a:solidFill>
              <a:srgbClr val="156082"/>
            </a:solidFill>
            <a:ln w="0">
              <a:noFill/>
            </a:ln>
          </c:spPr>
          <c:explosion val="0"/>
          <c:dPt>
            <c:idx val="0"/>
            <c:spPr>
              <a:solidFill>
                <a:srgbClr val="1f5c8b"/>
              </a:solidFill>
              <a:ln w="19080">
                <a:solidFill>
                  <a:srgbClr val="ffffff"/>
                </a:solidFill>
                <a:round/>
              </a:ln>
            </c:spPr>
          </c:dPt>
          <c:dPt>
            <c:idx val="1"/>
            <c:spPr>
              <a:solidFill>
                <a:srgbClr val="a9b7c9"/>
              </a:solidFill>
              <a:ln w="19080">
                <a:solidFill>
                  <a:srgbClr val="ffffff"/>
                </a:solidFill>
                <a:round/>
              </a:ln>
            </c:spPr>
          </c:dPt>
          <c:dPt>
            <c:idx val="2"/>
            <c:spPr>
              <a:solidFill>
                <a:srgbClr val="d5dce6"/>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1"/>
              <c:showSerName val="0"/>
              <c:showPercent val="1"/>
              <c:separator>
</c:separator>
            </c:dLbl>
            <c:dLbl>
              <c:idx val="1"/>
              <c:txPr>
                <a:bodyPr wrap="square"/>
                <a:lstStyle/>
                <a:p>
                  <a:pPr>
                    <a:defRPr b="0" sz="1000" spc="-1" strike="noStrike">
                      <a:solidFill>
                        <a:srgbClr val="000000"/>
                      </a:solidFill>
                      <a:latin typeface="Calibri"/>
                    </a:defRPr>
                  </a:pPr>
                </a:p>
              </c:txPr>
              <c:showLegendKey val="0"/>
              <c:showVal val="0"/>
              <c:showCatName val="1"/>
              <c:showSerName val="0"/>
              <c:showPercent val="1"/>
              <c:separator>
</c:separator>
            </c:dLbl>
            <c:dLbl>
              <c:idx val="2"/>
              <c:txPr>
                <a:bodyPr wrap="square"/>
                <a:lstStyle/>
                <a:p>
                  <a:pPr>
                    <a:defRPr b="0" sz="1000" spc="-1" strike="noStrike">
                      <a:solidFill>
                        <a:srgbClr val="000000"/>
                      </a:solidFill>
                      <a:latin typeface="Calibri"/>
                    </a:defRPr>
                  </a:pPr>
                </a:p>
              </c:txPr>
              <c:showLegendKey val="0"/>
              <c:showVal val="0"/>
              <c:showCatName val="1"/>
              <c:showSerName val="0"/>
              <c:showPercent val="1"/>
              <c:separator>
</c:separator>
            </c:dLbl>
            <c:txPr>
              <a:bodyPr wrap="square"/>
              <a:lstStyle/>
              <a:p>
                <a:pPr>
                  <a:defRPr b="0" sz="1000" spc="-1" strike="noStrike">
                    <a:solidFill>
                      <a:srgbClr val="000000"/>
                    </a:solidFill>
                    <a:latin typeface="Calibri"/>
                    <a:ea typeface="Calibri"/>
                  </a:defRPr>
                </a:pPr>
              </a:p>
            </c:txPr>
            <c:showLegendKey val="0"/>
            <c:showVal val="0"/>
            <c:showCatName val="1"/>
            <c:showSerName val="0"/>
            <c:showPercent val="1"/>
            <c:separator>
</c:separator>
            <c:showLeaderLines val="1"/>
          </c:dLbls>
          <c:cat>
            <c:strRef>
              <c:f>'Channel Summary'!$A$6:$A$8</c:f>
              <c:strCache>
                <c:ptCount val="3"/>
                <c:pt idx="0">
                  <c:v>Click and Collect</c:v>
                </c:pt>
                <c:pt idx="1">
                  <c:v>Delivery</c:v>
                </c:pt>
                <c:pt idx="2">
                  <c:v>In Store</c:v>
                </c:pt>
              </c:strCache>
            </c:strRef>
          </c:cat>
          <c:val>
            <c:numRef>
              <c:f>'Channel Summary'!$B$6:$B$8</c:f>
              <c:numCache>
                <c:formatCode>"SAR "#,##0</c:formatCode>
                <c:ptCount val="3"/>
                <c:pt idx="0">
                  <c:v>12556.6</c:v>
                </c:pt>
                <c:pt idx="1">
                  <c:v>11837.7</c:v>
                </c:pt>
                <c:pt idx="2">
                  <c:v>11071.8</c:v>
                </c:pt>
              </c:numCache>
            </c:numRef>
          </c:val>
        </c:ser>
        <c:firstSliceAng val="0"/>
        <c:holeSize val="50"/>
      </c:doughnutChart>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ea typeface="Calibri"/>
              </a:defRPr>
            </a:pPr>
            <a:r>
              <a:rPr b="1" sz="1800" spc="-1" strike="noStrike">
                <a:solidFill>
                  <a:srgbClr val="000000"/>
                </a:solidFill>
                <a:latin typeface="Calibri"/>
                <a:ea typeface="Calibri"/>
              </a:rPr>
              <a:t>Click and Collect far outsells In Store (misleading)</a:t>
            </a:r>
          </a:p>
        </c:rich>
      </c:tx>
      <c:overlay val="0"/>
      <c:spPr>
        <a:noFill/>
        <a:ln w="0">
          <a:noFill/>
        </a:ln>
      </c:spPr>
    </c:title>
    <c:autoTitleDeleted val="0"/>
    <c:plotArea>
      <c:barChart>
        <c:barDir val="col"/>
        <c:grouping val="clustered"/>
        <c:varyColors val="0"/>
        <c:ser>
          <c:idx val="0"/>
          <c:order val="0"/>
          <c:tx>
            <c:strRef>
              <c:f>'Channel Summary'!B5</c:f>
              <c:strCache>
                <c:ptCount val="1"/>
                <c:pt idx="0">
                  <c:v>Revenue SAR</c:v>
                </c:pt>
              </c:strCache>
            </c:strRef>
          </c:tx>
          <c:spPr>
            <a:solidFill>
              <a:srgbClr val="1f5c8b"/>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'Channel Summary'!$A$6:$A$8</c:f>
              <c:strCache>
                <c:ptCount val="3"/>
                <c:pt idx="0">
                  <c:v>Click and Collect</c:v>
                </c:pt>
                <c:pt idx="1">
                  <c:v>Delivery</c:v>
                </c:pt>
                <c:pt idx="2">
                  <c:v>In Store</c:v>
                </c:pt>
              </c:strCache>
            </c:strRef>
          </c:cat>
          <c:val>
            <c:numRef>
              <c:f>'Channel Summary'!$B$6:$B$8</c:f>
              <c:numCache>
                <c:formatCode>"SAR "#,##0</c:formatCode>
                <c:ptCount val="3"/>
                <c:pt idx="0">
                  <c:v>12556.6</c:v>
                </c:pt>
                <c:pt idx="1">
                  <c:v>11837.7</c:v>
                </c:pt>
                <c:pt idx="2">
                  <c:v>11071.8</c:v>
                </c:pt>
              </c:numCache>
            </c:numRef>
          </c:val>
        </c:ser>
        <c:gapWidth val="150"/>
        <c:overlap val="0"/>
        <c:axId val="67265759"/>
        <c:axId val="60751017"/>
      </c:barChart>
      <c:catAx>
        <c:axId val="67265759"/>
        <c:scaling>
          <c:orientation val="minMax"/>
        </c:scaling>
        <c:delete val="0"/>
        <c:axPos val="b"/>
        <c:numFmt formatCode="General" sourceLinked="1"/>
        <c:majorTickMark val="none"/>
        <c:minorTickMark val="none"/>
        <c:tickLblPos val="nextTo"/>
        <c:spPr>
          <a:ln w="12600">
            <a:solidFill>
              <a:srgbClr val="8b8b8b"/>
            </a:solidFill>
            <a:round/>
          </a:ln>
        </c:spPr>
        <c:txPr>
          <a:bodyPr/>
          <a:lstStyle/>
          <a:p>
            <a:pPr>
              <a:defRPr b="0" sz="1000" spc="-1" strike="noStrike">
                <a:solidFill>
                  <a:srgbClr val="000000"/>
                </a:solidFill>
                <a:latin typeface="Calibri"/>
                <a:ea typeface="Calibri"/>
              </a:defRPr>
            </a:pPr>
          </a:p>
        </c:txPr>
        <c:crossAx val="60751017"/>
        <c:crosses val="autoZero"/>
        <c:auto val="1"/>
        <c:lblAlgn val="ctr"/>
        <c:lblOffset val="100"/>
        <c:noMultiLvlLbl val="0"/>
      </c:catAx>
      <c:valAx>
        <c:axId val="60751017"/>
        <c:scaling>
          <c:orientation val="minMax"/>
          <c:max val="13000"/>
          <c:min val="10000"/>
        </c:scaling>
        <c:delete val="0"/>
        <c:axPos val="l"/>
        <c:majorGridlines>
          <c:spPr>
            <a:ln w="12600">
              <a:solidFill>
                <a:srgbClr val="8b8b8b"/>
              </a:solidFill>
              <a:round/>
            </a:ln>
          </c:spPr>
        </c:majorGridlines>
        <c:numFmt formatCode="&quot;SAR &quot;#,##0" sourceLinked="0"/>
        <c:majorTickMark val="none"/>
        <c:minorTickMark val="none"/>
        <c:tickLblPos val="nextTo"/>
        <c:spPr>
          <a:ln w="12600">
            <a:solidFill>
              <a:srgbClr val="8b8b8b"/>
            </a:solidFill>
            <a:round/>
          </a:ln>
        </c:spPr>
        <c:txPr>
          <a:bodyPr/>
          <a:lstStyle/>
          <a:p>
            <a:pPr>
              <a:defRPr b="0" sz="1000" spc="-1" strike="noStrike">
                <a:solidFill>
                  <a:srgbClr val="000000"/>
                </a:solidFill>
                <a:latin typeface="Calibri"/>
                <a:ea typeface="Calibri"/>
              </a:defRPr>
            </a:pPr>
          </a:p>
        </c:txPr>
        <c:crossAx val="67265759"/>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ea typeface="Calibri"/>
              </a:defRPr>
            </a:pPr>
            <a:r>
              <a:rPr b="1" sz="1800" spc="-1" strike="noStrike">
                <a:solidFill>
                  <a:srgbClr val="000000"/>
                </a:solidFill>
                <a:latin typeface="Calibri"/>
                <a:ea typeface="Calibri"/>
              </a:rPr>
              <a:t>Click and Collect earns the most revenue, only slightly ahead of the others</a:t>
            </a:r>
          </a:p>
        </c:rich>
      </c:tx>
      <c:overlay val="0"/>
      <c:spPr>
        <a:noFill/>
        <a:ln w="0">
          <a:noFill/>
        </a:ln>
      </c:spPr>
    </c:title>
    <c:autoTitleDeleted val="0"/>
    <c:plotArea>
      <c:barChart>
        <c:barDir val="bar"/>
        <c:grouping val="clustered"/>
        <c:varyColors val="0"/>
        <c:ser>
          <c:idx val="0"/>
          <c:order val="0"/>
          <c:tx>
            <c:strRef>
              <c:f>'Chart Workspace'!Q11</c:f>
              <c:strCache>
                <c:ptCount val="1"/>
                <c:pt idx="0">
                  <c:v>Revenue SAR</c:v>
                </c:pt>
              </c:strCache>
            </c:strRef>
          </c:tx>
          <c:spPr>
            <a:solidFill>
              <a:srgbClr val="a9b7c9"/>
            </a:solidFill>
            <a:ln w="0">
              <a:solidFill>
                <a:srgbClr val="a9b7c9"/>
              </a:solidFill>
            </a:ln>
          </c:spPr>
          <c:invertIfNegative val="0"/>
          <c:dPt>
            <c:idx val="2"/>
            <c:invertIfNegative val="0"/>
            <c:spPr>
              <a:solidFill>
                <a:srgbClr val="1f5c8b"/>
              </a:solidFill>
              <a:ln w="0">
                <a:solidFill>
                  <a:srgbClr val="1f5c8b"/>
                </a:solidFill>
              </a:ln>
            </c:spPr>
          </c:dPt>
          <c:dLbls>
            <c:numFmt formatCode="&quot;SAR &quot;#,##0" sourceLinked="1"/>
            <c:dLbl>
              <c:idx val="2"/>
              <c:numFmt formatCode="&quot;SAR &quot;#,##0"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dLbl>
            <c:txPr>
              <a:bodyPr wrap="square"/>
              <a:lstStyle/>
              <a:p>
                <a:pPr>
                  <a:defRPr b="0" sz="1000" spc="-1" strike="noStrike">
                    <a:solidFill>
                      <a:srgbClr val="000000"/>
                    </a:solidFill>
                    <a:latin typeface="Calibri"/>
                    <a:ea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'Chart Workspace'!$P$12:$P$14</c:f>
              <c:strCache>
                <c:ptCount val="3"/>
                <c:pt idx="0">
                  <c:v>In Store</c:v>
                </c:pt>
                <c:pt idx="1">
                  <c:v>Delivery</c:v>
                </c:pt>
                <c:pt idx="2">
                  <c:v>Click and Collect</c:v>
                </c:pt>
              </c:strCache>
            </c:strRef>
          </c:cat>
          <c:val>
            <c:numRef>
              <c:f>'Chart Workspace'!$Q$12:$Q$14</c:f>
              <c:numCache>
                <c:formatCode>"SAR "#,##0</c:formatCode>
                <c:ptCount val="3"/>
                <c:pt idx="0">
                  <c:v>11071.8</c:v>
                </c:pt>
                <c:pt idx="1">
                  <c:v>11837.7</c:v>
                </c:pt>
                <c:pt idx="2">
                  <c:v>12556.6</c:v>
                </c:pt>
              </c:numCache>
            </c:numRef>
          </c:val>
        </c:ser>
        <c:gapWidth val="55"/>
        <c:overlap val="0"/>
        <c:axId val="73928420"/>
        <c:axId val="9868512"/>
      </c:barChart>
      <c:catAx>
        <c:axId val="73928420"/>
        <c:scaling>
          <c:orientation val="minMax"/>
        </c:scaling>
        <c:delete val="0"/>
        <c:axPos val="b"/>
        <c:numFmt formatCode="General" sourceLinked="1"/>
        <c:majorTickMark val="none"/>
        <c:minorTickMark val="none"/>
        <c:tickLblPos val="nextTo"/>
        <c:spPr>
          <a:ln w="12600">
            <a:solidFill>
              <a:srgbClr val="8b8b8b"/>
            </a:solidFill>
            <a:round/>
          </a:ln>
        </c:spPr>
        <c:txPr>
          <a:bodyPr/>
          <a:lstStyle/>
          <a:p>
            <a:pPr>
              <a:defRPr b="0" sz="1000" spc="-1" strike="noStrike">
                <a:solidFill>
                  <a:srgbClr val="000000"/>
                </a:solidFill>
                <a:latin typeface="Calibri"/>
                <a:ea typeface="Calibri"/>
              </a:defRPr>
            </a:pPr>
          </a:p>
        </c:txPr>
        <c:crossAx val="9868512"/>
        <c:crosses val="autoZero"/>
        <c:auto val="1"/>
        <c:lblAlgn val="ctr"/>
        <c:lblOffset val="100"/>
        <c:noMultiLvlLbl val="0"/>
      </c:catAx>
      <c:valAx>
        <c:axId val="9868512"/>
        <c:scaling>
          <c:orientation val="minMax"/>
          <c:min val="0"/>
        </c:scaling>
        <c:delete val="0"/>
        <c:axPos val="l"/>
        <c:title>
          <c:tx>
            <c:rich>
              <a:bodyPr rot="0"/>
              <a:lstStyle/>
              <a:p>
                <a:pPr>
                  <a:defRPr b="1" sz="1000" spc="-1" strike="noStrike">
                    <a:solidFill>
                      <a:srgbClr val="000000"/>
                    </a:solidFill>
                    <a:latin typeface="Calibri"/>
                    <a:ea typeface="Calibri"/>
                  </a:defRPr>
                </a:pPr>
                <a:r>
                  <a:rPr b="1" sz="1000" spc="-1" strike="noStrike">
                    <a:solidFill>
                      <a:srgbClr val="000000"/>
                    </a:solidFill>
                    <a:latin typeface="Calibri"/>
                    <a:ea typeface="Calibri"/>
                  </a:rPr>
                  <a:t>Revenue (SAR)</a:t>
                </a:r>
              </a:p>
            </c:rich>
          </c:tx>
          <c:overlay val="0"/>
          <c:spPr>
            <a:noFill/>
            <a:ln w="0">
              <a:noFill/>
            </a:ln>
          </c:spPr>
        </c:title>
        <c:numFmt formatCode="&quot;SAR &quot;#,##0" sourceLinked="0"/>
        <c:majorTickMark val="none"/>
        <c:minorTickMark val="none"/>
        <c:tickLblPos val="nextTo"/>
        <c:spPr>
          <a:ln w="12600">
            <a:solidFill>
              <a:srgbClr val="8b8b8b"/>
            </a:solidFill>
            <a:round/>
          </a:ln>
        </c:spPr>
        <c:txPr>
          <a:bodyPr/>
          <a:lstStyle/>
          <a:p>
            <a:pPr>
              <a:defRPr b="0" sz="1000" spc="-1" strike="noStrike">
                <a:solidFill>
                  <a:srgbClr val="000000"/>
                </a:solidFill>
                <a:latin typeface="Calibri"/>
                <a:ea typeface="Calibri"/>
              </a:defRPr>
            </a:pPr>
          </a:p>
        </c:txPr>
        <c:crossAx val="73928420"/>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xdr:row>
      <xdr:rowOff>160200</xdr:rowOff>
    </xdr:from>
    <xdr:to>
      <xdr:col>4</xdr:col>
      <xdr:colOff>480960</xdr:colOff>
      <xdr:row>21</xdr:row>
      <xdr:rowOff>60120</xdr:rowOff>
    </xdr:to>
    <xdr:graphicFrame>
      <xdr:nvGraphicFramePr>
        <xdr:cNvPr id="0" name="Chart 1"/>
        <xdr:cNvGraphicFramePr/>
      </xdr:nvGraphicFramePr>
      <xdr:xfrm>
        <a:off x="0" y="1038240"/>
        <a:ext cx="665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0</xdr:colOff>
      <xdr:row>4</xdr:row>
      <xdr:rowOff>160200</xdr:rowOff>
    </xdr:from>
    <xdr:to>
      <xdr:col>13</xdr:col>
      <xdr:colOff>405720</xdr:colOff>
      <xdr:row>21</xdr:row>
      <xdr:rowOff>60120</xdr:rowOff>
    </xdr:to>
    <xdr:graphicFrame>
      <xdr:nvGraphicFramePr>
        <xdr:cNvPr id="1" name="Chart 2"/>
        <xdr:cNvGraphicFramePr/>
      </xdr:nvGraphicFramePr>
      <xdr:xfrm>
        <a:off x="8045280" y="1038240"/>
        <a:ext cx="413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29</xdr:row>
      <xdr:rowOff>91440</xdr:rowOff>
    </xdr:from>
    <xdr:to>
      <xdr:col>1</xdr:col>
      <xdr:colOff>2589120</xdr:colOff>
      <xdr:row>45</xdr:row>
      <xdr:rowOff>174600</xdr:rowOff>
    </xdr:to>
    <xdr:graphicFrame>
      <xdr:nvGraphicFramePr>
        <xdr:cNvPr id="2" name="Chart 3"/>
        <xdr:cNvGraphicFramePr/>
      </xdr:nvGraphicFramePr>
      <xdr:xfrm>
        <a:off x="0" y="9820440"/>
        <a:ext cx="4139640" cy="287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0</xdr:colOff>
      <xdr:row>48</xdr:row>
      <xdr:rowOff>26640</xdr:rowOff>
    </xdr:from>
    <xdr:to>
      <xdr:col>1</xdr:col>
      <xdr:colOff>3129120</xdr:colOff>
      <xdr:row>63</xdr:row>
      <xdr:rowOff>97200</xdr:rowOff>
    </xdr:to>
    <xdr:graphicFrame>
      <xdr:nvGraphicFramePr>
        <xdr:cNvPr id="3" name="Chart 4"/>
        <xdr:cNvGraphicFramePr/>
      </xdr:nvGraphicFramePr>
      <xdr:xfrm>
        <a:off x="0" y="13077720"/>
        <a:ext cx="4679640" cy="269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7</xdr:col>
      <xdr:colOff>0</xdr:colOff>
      <xdr:row>49</xdr:row>
      <xdr:rowOff>23040</xdr:rowOff>
    </xdr:from>
    <xdr:to>
      <xdr:col>13</xdr:col>
      <xdr:colOff>405720</xdr:colOff>
      <xdr:row>64</xdr:row>
      <xdr:rowOff>93600</xdr:rowOff>
    </xdr:to>
    <xdr:graphicFrame>
      <xdr:nvGraphicFramePr>
        <xdr:cNvPr id="4" name="Chart 5"/>
        <xdr:cNvGraphicFramePr/>
      </xdr:nvGraphicFramePr>
      <xdr:xfrm>
        <a:off x="8045280" y="13249440"/>
        <a:ext cx="4139640" cy="269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tables/table1.xml><?xml version="1.0" encoding="utf-8"?>
<table xmlns="http://schemas.openxmlformats.org/spreadsheetml/2006/main" id="1" name="Lab02Categories" displayName="Lab02Categories" ref="A5:D9" headerRowCount="1" totalsRowCount="0" totalsRowShown="0">
  <tableColumns count="4">
    <tableColumn id="1" name="Category"/>
    <tableColumn id="2" name="Revenue SAR"/>
    <tableColumn id="3" name="Orders"/>
    <tableColumn id="4" name="Average Rating"/>
  </tableColumns>
</table>
</file>

<file path=xl/tables/table2.xml><?xml version="1.0" encoding="utf-8"?>
<table xmlns="http://schemas.openxmlformats.org/spreadsheetml/2006/main" id="2" name="Lab02Channels" displayName="Lab02Channels" ref="A5:C8" headerRowCount="1" totalsRowCount="0" totalsRowShown="0">
  <tableColumns count="3">
    <tableColumn id="1" name="Channel"/>
    <tableColumn id="2" name="Revenue SAR"/>
    <tableColumn id="3" name="Orders"/>
  </tableColumns>
</table>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table" Target="../tables/table1.xml"/>
</Relationships>
</file>

<file path=xl/worksheets/_rels/sheet3.xml.rels><?xml version="1.0" encoding="UTF-8"?>
<Relationships xmlns="http://schemas.openxmlformats.org/package/2006/relationships"><Relationship Id="rId1" Type="http://schemas.openxmlformats.org/officeDocument/2006/relationships/table" Target="../tables/table2.xml"/>
</Relationships>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7365D"/>
    <pageSetUpPr fitToPage="false"/>
  </sheetPr>
  <dimension ref="A1:H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B7" activeCellId="0" sqref="B7"/>
    </sheetView>
  </sheetViews>
  <sheetFormatPr defaultColWidth="8.83203125" defaultRowHeight="13.5" zeroHeight="false" outlineLevelRow="0" outlineLevelCol="0"/>
  <cols>
    <col collapsed="false" customWidth="true" hidden="false" outlineLevel="0" max="1" min="1" style="0" width="10"/>
    <col collapsed="false" customWidth="true" hidden="false" outlineLevel="0" max="2" min="2" style="0" width="68"/>
    <col collapsed="false" customWidth="true" hidden="false" outlineLevel="0" max="3" min="3" style="0" width="18"/>
    <col collapsed="false" customWidth="true" hidden="false" outlineLevel="0" max="8" min="4" style="0" width="12"/>
  </cols>
  <sheetData>
    <row r="1" customFormat="false" ht="27.75" hidden="false" customHeight="true" outlineLevel="0" collapsed="false">
      <c r="A1" s="1" t="s">
        <v>0</v>
      </c>
      <c r="B1" s="1"/>
      <c r="C1" s="1"/>
      <c r="D1" s="1"/>
      <c r="E1" s="1"/>
      <c r="F1" s="1"/>
      <c r="G1" s="1"/>
      <c r="H1" s="1"/>
    </row>
    <row r="2" customFormat="false" ht="13.5" hidden="false" customHeight="false" outlineLevel="0" collapsed="false">
      <c r="A2" s="2" t="s">
        <v>1</v>
      </c>
      <c r="B2" s="2"/>
      <c r="C2" s="2"/>
      <c r="D2" s="2"/>
      <c r="E2" s="2"/>
      <c r="F2" s="2"/>
      <c r="G2" s="2"/>
      <c r="H2" s="2"/>
    </row>
    <row r="3" customFormat="false" ht="30" hidden="false" customHeight="true" outlineLevel="0" collapsed="false">
      <c r="A3" s="3" t="s">
        <v>2</v>
      </c>
      <c r="B3" s="4" t="s">
        <v>3</v>
      </c>
      <c r="C3" s="5"/>
      <c r="D3" s="5"/>
      <c r="E3" s="5"/>
      <c r="F3" s="5"/>
      <c r="G3" s="5"/>
      <c r="H3" s="5"/>
    </row>
    <row r="4" customFormat="false" ht="30" hidden="false" customHeight="true" outlineLevel="0" collapsed="false">
      <c r="A4" s="3" t="s">
        <v>4</v>
      </c>
      <c r="B4" s="4" t="s">
        <v>5</v>
      </c>
    </row>
    <row r="5" customFormat="false" ht="30" hidden="false" customHeight="true" outlineLevel="0" collapsed="false">
      <c r="A5" s="3" t="s">
        <v>6</v>
      </c>
      <c r="B5" s="6" t="s">
        <v>7</v>
      </c>
    </row>
    <row r="6" customFormat="false" ht="30" hidden="false" customHeight="true" outlineLevel="0" collapsed="false">
      <c r="A6" s="3" t="s">
        <v>8</v>
      </c>
      <c r="B6" s="7" t="s">
        <v>9</v>
      </c>
    </row>
    <row r="7" customFormat="false" ht="30" hidden="false" customHeight="true" outlineLevel="0" collapsed="false">
      <c r="A7" s="3" t="s">
        <v>10</v>
      </c>
      <c r="B7" s="7" t="s">
        <v>11</v>
      </c>
    </row>
    <row r="8" customFormat="false" ht="30" hidden="false" customHeight="true" outlineLevel="0" collapsed="false">
      <c r="A8" s="3" t="s">
        <v>12</v>
      </c>
      <c r="B8" s="7" t="s">
        <v>13</v>
      </c>
    </row>
    <row r="9" customFormat="false" ht="30" hidden="false" customHeight="true" outlineLevel="0" collapsed="false">
      <c r="A9" s="3" t="s">
        <v>14</v>
      </c>
      <c r="B9" s="8" t="s">
        <v>15</v>
      </c>
    </row>
    <row r="11" customFormat="false" ht="13.5" hidden="false" customHeight="false" outlineLevel="0" collapsed="false">
      <c r="A11" s="9" t="s">
        <v>16</v>
      </c>
      <c r="B11" s="9"/>
      <c r="C11" s="9"/>
      <c r="D11" s="9"/>
      <c r="E11" s="9"/>
      <c r="F11" s="9"/>
      <c r="G11" s="9"/>
      <c r="H11" s="9"/>
    </row>
    <row r="12" customFormat="false" ht="30" hidden="false" customHeight="true" outlineLevel="0" collapsed="false">
      <c r="A12" s="3" t="s">
        <v>17</v>
      </c>
      <c r="B12" s="3" t="s">
        <v>18</v>
      </c>
      <c r="C12" s="3" t="s">
        <v>19</v>
      </c>
    </row>
    <row r="13" customFormat="false" ht="13.5" hidden="false" customHeight="false" outlineLevel="0" collapsed="false">
      <c r="A13" s="10" t="n">
        <v>1</v>
      </c>
      <c r="B13" s="11" t="s">
        <v>20</v>
      </c>
      <c r="C13" s="12" t="s">
        <v>21</v>
      </c>
    </row>
    <row r="14" customFormat="false" ht="13.5" hidden="false" customHeight="false" outlineLevel="0" collapsed="false">
      <c r="A14" s="13" t="n">
        <v>2</v>
      </c>
      <c r="B14" s="14" t="s">
        <v>22</v>
      </c>
      <c r="C14" s="15" t="s">
        <v>21</v>
      </c>
    </row>
    <row r="15" customFormat="false" ht="13.5" hidden="false" customHeight="false" outlineLevel="0" collapsed="false">
      <c r="A15" s="13" t="n">
        <v>3</v>
      </c>
      <c r="B15" s="14" t="s">
        <v>23</v>
      </c>
      <c r="C15" s="15" t="s">
        <v>21</v>
      </c>
    </row>
    <row r="16" customFormat="false" ht="13.5" hidden="false" customHeight="false" outlineLevel="0" collapsed="false">
      <c r="A16" s="13" t="n">
        <v>4</v>
      </c>
      <c r="B16" s="14" t="s">
        <v>24</v>
      </c>
      <c r="C16" s="15" t="s">
        <v>21</v>
      </c>
    </row>
    <row r="17" customFormat="false" ht="13.5" hidden="false" customHeight="false" outlineLevel="0" collapsed="false">
      <c r="A17" s="16" t="n">
        <v>5</v>
      </c>
      <c r="B17" s="17" t="s">
        <v>25</v>
      </c>
      <c r="C17" s="18" t="s">
        <v>21</v>
      </c>
    </row>
  </sheetData>
  <mergeCells count="3">
    <mergeCell ref="A1:H1"/>
    <mergeCell ref="A2:H2"/>
    <mergeCell ref="A11:H11"/>
  </mergeCells>
  <conditionalFormatting sqref="C13:C17">
    <cfRule type="containsText" priority="2" operator="containsText" aboveAverage="0" equalAverage="0" bottom="0" percent="0" rank="0" text="Done" dxfId="0">
      <formula>NOT(ISERROR(SEARCH("Done",C13)))</formula>
    </cfRule>
  </conditionalFormatting>
  <dataValidations count="1">
    <dataValidation allowBlank="false" errorStyle="stop" operator="between" showDropDown="false" showErrorMessage="false" showInputMessage="false" sqref="C13:C17" type="list">
      <formula1>"Not started,In progress,Done"</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472C4"/>
    <pageSetUpPr fitToPage="false"/>
  </sheetPr>
  <dimension ref="A1:D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6" activeCellId="0" sqref="A6"/>
    </sheetView>
  </sheetViews>
  <sheetFormatPr defaultColWidth="8.83203125" defaultRowHeight="13.5" zeroHeight="false" outlineLevelRow="0" outlineLevelCol="0"/>
  <cols>
    <col collapsed="false" customWidth="true" hidden="false" outlineLevel="0" max="1" min="1" style="0" width="20"/>
    <col collapsed="false" customWidth="true" hidden="false" outlineLevel="0" max="2" min="2" style="0" width="18"/>
    <col collapsed="false" customWidth="true" hidden="false" outlineLevel="0" max="3" min="3" style="0" width="12"/>
    <col collapsed="false" customWidth="true" hidden="false" outlineLevel="0" max="4" min="4" style="0" width="16"/>
  </cols>
  <sheetData>
    <row r="1" customFormat="false" ht="27.75" hidden="false" customHeight="true" outlineLevel="0" collapsed="false">
      <c r="A1" s="1" t="s">
        <v>26</v>
      </c>
      <c r="B1" s="1"/>
      <c r="C1" s="1"/>
      <c r="D1" s="1"/>
    </row>
    <row r="2" customFormat="false" ht="13.5" hidden="false" customHeight="false" outlineLevel="0" collapsed="false">
      <c r="A2" s="2" t="s">
        <v>27</v>
      </c>
      <c r="B2" s="2"/>
      <c r="C2" s="2"/>
      <c r="D2" s="2"/>
    </row>
    <row r="3" customFormat="false" ht="13.5" hidden="false" customHeight="false" outlineLevel="0" collapsed="false">
      <c r="A3" s="5"/>
      <c r="B3" s="5"/>
      <c r="C3" s="5"/>
      <c r="D3" s="5"/>
    </row>
    <row r="5" customFormat="false" ht="30" hidden="false" customHeight="true" outlineLevel="0" collapsed="false">
      <c r="A5" s="3" t="s">
        <v>28</v>
      </c>
      <c r="B5" s="3" t="s">
        <v>29</v>
      </c>
      <c r="C5" s="3" t="s">
        <v>30</v>
      </c>
      <c r="D5" s="3" t="s">
        <v>31</v>
      </c>
    </row>
    <row r="6" customFormat="false" ht="13.5" hidden="false" customHeight="false" outlineLevel="0" collapsed="false">
      <c r="A6" s="10" t="s">
        <v>32</v>
      </c>
      <c r="B6" s="19" t="n">
        <v>6993.6</v>
      </c>
      <c r="C6" s="11" t="n">
        <v>120</v>
      </c>
      <c r="D6" s="20" t="n">
        <v>4.25</v>
      </c>
    </row>
    <row r="7" customFormat="false" ht="13.5" hidden="false" customHeight="false" outlineLevel="0" collapsed="false">
      <c r="A7" s="13" t="s">
        <v>33</v>
      </c>
      <c r="B7" s="21" t="n">
        <v>6567</v>
      </c>
      <c r="C7" s="14" t="n">
        <v>120</v>
      </c>
      <c r="D7" s="22" t="n">
        <v>4.09</v>
      </c>
    </row>
    <row r="8" customFormat="false" ht="13.5" hidden="false" customHeight="false" outlineLevel="0" collapsed="false">
      <c r="A8" s="13" t="s">
        <v>34</v>
      </c>
      <c r="B8" s="21" t="n">
        <v>11863.8</v>
      </c>
      <c r="C8" s="14" t="n">
        <v>120</v>
      </c>
      <c r="D8" s="22" t="n">
        <v>4.19</v>
      </c>
    </row>
    <row r="9" customFormat="false" ht="13.5" hidden="false" customHeight="false" outlineLevel="0" collapsed="false">
      <c r="A9" s="16" t="s">
        <v>35</v>
      </c>
      <c r="B9" s="23" t="n">
        <v>10041.7</v>
      </c>
      <c r="C9" s="17" t="n">
        <v>120</v>
      </c>
      <c r="D9" s="24" t="n">
        <v>4.22</v>
      </c>
    </row>
  </sheetData>
  <mergeCells count="2">
    <mergeCell ref="A1:D1"/>
    <mergeCell ref="A2:D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472C4"/>
    <pageSetUpPr fitToPage="false"/>
  </sheetPr>
  <dimension ref="A1:C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6" activeCellId="0" sqref="A6"/>
    </sheetView>
  </sheetViews>
  <sheetFormatPr defaultColWidth="8.83203125" defaultRowHeight="13.5" zeroHeight="false" outlineLevelRow="0" outlineLevelCol="0"/>
  <cols>
    <col collapsed="false" customWidth="true" hidden="false" outlineLevel="0" max="1" min="1" style="0" width="24"/>
    <col collapsed="false" customWidth="true" hidden="false" outlineLevel="0" max="2" min="2" style="0" width="18"/>
    <col collapsed="false" customWidth="true" hidden="false" outlineLevel="0" max="3" min="3" style="0" width="12"/>
  </cols>
  <sheetData>
    <row r="1" customFormat="false" ht="27.75" hidden="false" customHeight="true" outlineLevel="0" collapsed="false">
      <c r="A1" s="1" t="s">
        <v>36</v>
      </c>
      <c r="B1" s="1"/>
      <c r="C1" s="1"/>
    </row>
    <row r="2" customFormat="false" ht="13.5" hidden="false" customHeight="false" outlineLevel="0" collapsed="false">
      <c r="A2" s="2" t="s">
        <v>37</v>
      </c>
      <c r="B2" s="2"/>
      <c r="C2" s="2"/>
    </row>
    <row r="3" customFormat="false" ht="13.5" hidden="false" customHeight="false" outlineLevel="0" collapsed="false">
      <c r="A3" s="5"/>
      <c r="B3" s="5"/>
      <c r="C3" s="5"/>
    </row>
    <row r="5" customFormat="false" ht="30" hidden="false" customHeight="true" outlineLevel="0" collapsed="false">
      <c r="A5" s="3" t="s">
        <v>38</v>
      </c>
      <c r="B5" s="3" t="s">
        <v>29</v>
      </c>
      <c r="C5" s="3" t="s">
        <v>30</v>
      </c>
    </row>
    <row r="6" customFormat="false" ht="13.5" hidden="false" customHeight="false" outlineLevel="0" collapsed="false">
      <c r="A6" s="10" t="s">
        <v>39</v>
      </c>
      <c r="B6" s="19" t="n">
        <v>12556.6</v>
      </c>
      <c r="C6" s="12" t="n">
        <v>160</v>
      </c>
    </row>
    <row r="7" customFormat="false" ht="13.5" hidden="false" customHeight="false" outlineLevel="0" collapsed="false">
      <c r="A7" s="13" t="s">
        <v>40</v>
      </c>
      <c r="B7" s="21" t="n">
        <v>11837.7</v>
      </c>
      <c r="C7" s="15" t="n">
        <v>160</v>
      </c>
    </row>
    <row r="8" customFormat="false" ht="13.5" hidden="false" customHeight="false" outlineLevel="0" collapsed="false">
      <c r="A8" s="16" t="s">
        <v>41</v>
      </c>
      <c r="B8" s="23" t="n">
        <v>11071.8</v>
      </c>
      <c r="C8" s="18" t="n">
        <v>160</v>
      </c>
    </row>
  </sheetData>
  <mergeCells count="2">
    <mergeCell ref="A1:C1"/>
    <mergeCell ref="A2:C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6B800"/>
    <pageSetUpPr fitToPage="false"/>
  </sheetPr>
  <dimension ref="A1:R7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F6" activeCellId="0" sqref="F6"/>
    </sheetView>
  </sheetViews>
  <sheetFormatPr defaultColWidth="8.83203125" defaultRowHeight="13.5" zeroHeight="false" outlineLevelRow="0" outlineLevelCol="0"/>
  <cols>
    <col collapsed="false" customWidth="true" hidden="false" outlineLevel="0" max="1" min="1" style="0" width="22"/>
    <col collapsed="false" customWidth="true" hidden="false" outlineLevel="0" max="2" min="2" style="0" width="48"/>
    <col collapsed="false" customWidth="true" hidden="false" outlineLevel="0" max="16" min="16" style="0" width="20"/>
    <col collapsed="false" customWidth="true" hidden="false" outlineLevel="0" max="17" min="17" style="0" width="14"/>
    <col collapsed="false" customWidth="true" hidden="false" outlineLevel="0" max="18" min="18" style="0" width="10"/>
  </cols>
  <sheetData>
    <row r="1" customFormat="false" ht="27.75" hidden="false" customHeight="true" outlineLevel="0" collapsed="false">
      <c r="A1" s="1" t="s">
        <v>42</v>
      </c>
      <c r="B1" s="1"/>
      <c r="C1" s="1"/>
      <c r="D1" s="1"/>
      <c r="E1" s="1"/>
      <c r="F1" s="1"/>
      <c r="G1" s="1"/>
      <c r="H1" s="1"/>
      <c r="I1" s="1"/>
      <c r="J1" s="1"/>
      <c r="K1" s="1"/>
      <c r="L1" s="1"/>
      <c r="M1" s="1"/>
      <c r="N1" s="1"/>
    </row>
    <row r="2" customFormat="false" ht="13.8" hidden="false" customHeight="false" outlineLevel="0" collapsed="false">
      <c r="A2" s="2" t="s">
        <v>43</v>
      </c>
      <c r="B2" s="2"/>
      <c r="C2" s="2"/>
      <c r="D2" s="2"/>
      <c r="E2" s="2"/>
      <c r="F2" s="2"/>
      <c r="G2" s="2"/>
      <c r="H2" s="2"/>
      <c r="I2" s="2"/>
      <c r="J2" s="2"/>
      <c r="K2" s="2"/>
      <c r="L2" s="2"/>
      <c r="M2" s="2"/>
      <c r="N2" s="2"/>
    </row>
    <row r="3" customFormat="false" ht="13.8" hidden="false" customHeight="false" outlineLevel="0" collapsed="false">
      <c r="A3" s="5"/>
      <c r="B3" s="5"/>
      <c r="C3" s="5"/>
      <c r="D3" s="5"/>
      <c r="E3" s="5"/>
      <c r="F3" s="5"/>
      <c r="G3" s="5"/>
      <c r="H3" s="5"/>
      <c r="I3" s="5"/>
      <c r="J3" s="5"/>
      <c r="K3" s="5"/>
      <c r="L3" s="5"/>
      <c r="M3" s="5"/>
      <c r="N3" s="5"/>
    </row>
    <row r="4" customFormat="false" ht="13.8" hidden="false" customHeight="false" outlineLevel="0" collapsed="false">
      <c r="P4" s="25" t="s">
        <v>44</v>
      </c>
    </row>
    <row r="5" customFormat="false" ht="13.8" hidden="false" customHeight="false" outlineLevel="0" collapsed="false">
      <c r="A5" s="26" t="s">
        <v>45</v>
      </c>
      <c r="B5" s="26"/>
      <c r="C5" s="26"/>
      <c r="D5" s="26"/>
      <c r="E5" s="26"/>
      <c r="F5" s="26"/>
      <c r="G5" s="26"/>
      <c r="H5" s="26" t="s">
        <v>46</v>
      </c>
      <c r="I5" s="26"/>
      <c r="J5" s="26"/>
      <c r="K5" s="26"/>
      <c r="L5" s="26"/>
      <c r="M5" s="26"/>
      <c r="N5" s="26"/>
      <c r="P5" s="3" t="s">
        <v>28</v>
      </c>
      <c r="Q5" s="3" t="s">
        <v>29</v>
      </c>
    </row>
    <row r="6" customFormat="false" ht="13.8" hidden="false" customHeight="false" outlineLevel="0" collapsed="false">
      <c r="A6" s="27"/>
      <c r="B6" s="27"/>
      <c r="C6" s="27"/>
      <c r="D6" s="27"/>
      <c r="E6" s="27"/>
      <c r="F6" s="27"/>
      <c r="G6" s="27"/>
      <c r="H6" s="27"/>
      <c r="I6" s="27"/>
      <c r="J6" s="27"/>
      <c r="K6" s="27"/>
      <c r="L6" s="27"/>
      <c r="M6" s="27"/>
      <c r="N6" s="27"/>
      <c r="P6" s="28" t="str">
        <f aca="false">INDEX('Category Summary'!$A$6:$A$9,MATCH(Q6,'Category Summary'!$B$6:$B$9,0))</f>
        <v>Snacks</v>
      </c>
      <c r="Q6" s="29" t="n">
        <f aca="false">SMALL('Category Summary'!$B$6:$B$9,1)</f>
        <v>6567</v>
      </c>
    </row>
    <row r="7" customFormat="false" ht="13.8" hidden="false" customHeight="false" outlineLevel="0" collapsed="false">
      <c r="A7" s="27"/>
      <c r="B7" s="27"/>
      <c r="C7" s="27"/>
      <c r="D7" s="27"/>
      <c r="E7" s="27"/>
      <c r="F7" s="27"/>
      <c r="G7" s="27"/>
      <c r="H7" s="27"/>
      <c r="I7" s="27"/>
      <c r="J7" s="27"/>
      <c r="K7" s="27"/>
      <c r="L7" s="27"/>
      <c r="M7" s="27"/>
      <c r="N7" s="27"/>
      <c r="P7" s="28" t="str">
        <f aca="false">INDEX('Category Summary'!$A$6:$A$9,MATCH(Q7,'Category Summary'!$B$6:$B$9,0))</f>
        <v>Beverages</v>
      </c>
      <c r="Q7" s="29" t="n">
        <f aca="false">SMALL('Category Summary'!$B$6:$B$9,2)</f>
        <v>6993.6</v>
      </c>
    </row>
    <row r="8" customFormat="false" ht="13.8" hidden="false" customHeight="false" outlineLevel="0" collapsed="false">
      <c r="A8" s="27"/>
      <c r="B8" s="27"/>
      <c r="C8" s="27"/>
      <c r="D8" s="27"/>
      <c r="E8" s="27"/>
      <c r="F8" s="27"/>
      <c r="G8" s="27"/>
      <c r="H8" s="27"/>
      <c r="I8" s="27"/>
      <c r="J8" s="27"/>
      <c r="K8" s="27"/>
      <c r="L8" s="27"/>
      <c r="M8" s="27"/>
      <c r="N8" s="27"/>
      <c r="P8" s="28" t="str">
        <f aca="false">INDEX('Category Summary'!$A$6:$A$9,MATCH(Q8,'Category Summary'!$B$6:$B$9,0))</f>
        <v>Desserts</v>
      </c>
      <c r="Q8" s="29" t="n">
        <f aca="false">SMALL('Category Summary'!$B$6:$B$9,3)</f>
        <v>10041.7</v>
      </c>
    </row>
    <row r="9" customFormat="false" ht="13.8" hidden="false" customHeight="false" outlineLevel="0" collapsed="false">
      <c r="A9" s="27"/>
      <c r="B9" s="27"/>
      <c r="C9" s="27"/>
      <c r="D9" s="27"/>
      <c r="E9" s="27"/>
      <c r="F9" s="27"/>
      <c r="G9" s="27"/>
      <c r="H9" s="27"/>
      <c r="I9" s="27"/>
      <c r="J9" s="27"/>
      <c r="K9" s="27"/>
      <c r="L9" s="27"/>
      <c r="M9" s="27"/>
      <c r="N9" s="27"/>
      <c r="P9" s="28" t="str">
        <f aca="false">INDEX('Category Summary'!$A$6:$A$9,MATCH(Q9,'Category Summary'!$B$6:$B$9,0))</f>
        <v>Meals</v>
      </c>
      <c r="Q9" s="29" t="n">
        <f aca="false">SMALL('Category Summary'!$B$6:$B$9,4)</f>
        <v>11863.8</v>
      </c>
    </row>
    <row r="10" customFormat="false" ht="13.8" hidden="false" customHeight="false" outlineLevel="0" collapsed="false">
      <c r="A10" s="27"/>
      <c r="B10" s="27"/>
      <c r="C10" s="27"/>
      <c r="D10" s="27"/>
      <c r="E10" s="27"/>
      <c r="F10" s="27"/>
      <c r="G10" s="27"/>
      <c r="H10" s="27"/>
      <c r="I10" s="27"/>
      <c r="J10" s="27"/>
      <c r="K10" s="27"/>
      <c r="L10" s="27"/>
      <c r="M10" s="27"/>
      <c r="N10" s="27"/>
    </row>
    <row r="11" customFormat="false" ht="13.8" hidden="false" customHeight="false" outlineLevel="0" collapsed="false">
      <c r="A11" s="27"/>
      <c r="B11" s="27"/>
      <c r="C11" s="27"/>
      <c r="D11" s="27"/>
      <c r="E11" s="27"/>
      <c r="F11" s="27"/>
      <c r="G11" s="27"/>
      <c r="H11" s="27"/>
      <c r="I11" s="27"/>
      <c r="J11" s="27"/>
      <c r="K11" s="27"/>
      <c r="L11" s="27"/>
      <c r="M11" s="27"/>
      <c r="N11" s="27"/>
      <c r="P11" s="3" t="s">
        <v>38</v>
      </c>
      <c r="Q11" s="3" t="s">
        <v>29</v>
      </c>
      <c r="R11" s="3" t="s">
        <v>47</v>
      </c>
    </row>
    <row r="12" customFormat="false" ht="13.8" hidden="false" customHeight="false" outlineLevel="0" collapsed="false">
      <c r="A12" s="27"/>
      <c r="B12" s="27"/>
      <c r="C12" s="27"/>
      <c r="D12" s="27"/>
      <c r="E12" s="27"/>
      <c r="F12" s="27"/>
      <c r="G12" s="27"/>
      <c r="H12" s="27"/>
      <c r="I12" s="27"/>
      <c r="J12" s="27"/>
      <c r="K12" s="27"/>
      <c r="L12" s="27"/>
      <c r="M12" s="27"/>
      <c r="N12" s="27"/>
      <c r="P12" s="28" t="str">
        <f aca="false">INDEX('Channel Summary'!$A$6:$A$8,MATCH(Q12,'Channel Summary'!$B$6:$B$8,0))</f>
        <v>In Store</v>
      </c>
      <c r="Q12" s="29" t="n">
        <f aca="false">SMALL('Channel Summary'!$B$6:$B$8,1)</f>
        <v>11071.8</v>
      </c>
      <c r="R12" s="30" t="n">
        <f aca="false">Q12/SUM('Channel Summary'!$B$6:$B$8)</f>
        <v>0.312179799865223</v>
      </c>
    </row>
    <row r="13" customFormat="false" ht="13.8" hidden="false" customHeight="false" outlineLevel="0" collapsed="false">
      <c r="A13" s="27"/>
      <c r="B13" s="27"/>
      <c r="C13" s="27"/>
      <c r="D13" s="27"/>
      <c r="E13" s="27"/>
      <c r="F13" s="27"/>
      <c r="G13" s="27"/>
      <c r="H13" s="27"/>
      <c r="I13" s="27"/>
      <c r="J13" s="27"/>
      <c r="K13" s="27"/>
      <c r="L13" s="27"/>
      <c r="M13" s="27"/>
      <c r="N13" s="27"/>
      <c r="P13" s="28" t="str">
        <f aca="false">INDEX('Channel Summary'!$A$6:$A$8,MATCH(Q13,'Channel Summary'!$B$6:$B$8,0))</f>
        <v>Delivery</v>
      </c>
      <c r="Q13" s="29" t="n">
        <f aca="false">SMALL('Channel Summary'!$B$6:$B$8,2)</f>
        <v>11837.7</v>
      </c>
      <c r="R13" s="30" t="n">
        <f aca="false">Q13/SUM('Channel Summary'!$B$6:$B$8)</f>
        <v>0.33377506971446</v>
      </c>
    </row>
    <row r="14" customFormat="false" ht="13.8" hidden="false" customHeight="false" outlineLevel="0" collapsed="false">
      <c r="A14" s="27"/>
      <c r="B14" s="27"/>
      <c r="C14" s="27"/>
      <c r="D14" s="27"/>
      <c r="E14" s="27"/>
      <c r="F14" s="27"/>
      <c r="G14" s="27"/>
      <c r="H14" s="27"/>
      <c r="I14" s="27"/>
      <c r="J14" s="27"/>
      <c r="K14" s="27"/>
      <c r="L14" s="27"/>
      <c r="M14" s="27"/>
      <c r="N14" s="27"/>
      <c r="P14" s="28" t="str">
        <f aca="false">INDEX('Channel Summary'!$A$6:$A$8,MATCH(Q14,'Channel Summary'!$B$6:$B$8,0))</f>
        <v>Click and Collect</v>
      </c>
      <c r="Q14" s="29" t="n">
        <f aca="false">SMALL('Channel Summary'!$B$6:$B$8,3)</f>
        <v>12556.6</v>
      </c>
      <c r="R14" s="30" t="n">
        <f aca="false">Q14/SUM('Channel Summary'!$B$6:$B$8)</f>
        <v>0.354045130420317</v>
      </c>
    </row>
    <row r="15" customFormat="false" ht="13.8" hidden="false" customHeight="false" outlineLevel="0" collapsed="false">
      <c r="A15" s="27"/>
      <c r="B15" s="27"/>
      <c r="C15" s="27"/>
      <c r="D15" s="27"/>
      <c r="E15" s="27"/>
      <c r="F15" s="27"/>
      <c r="G15" s="27"/>
      <c r="H15" s="27"/>
      <c r="I15" s="27"/>
      <c r="J15" s="27"/>
      <c r="K15" s="27"/>
      <c r="L15" s="27"/>
      <c r="M15" s="27"/>
      <c r="N15" s="27"/>
    </row>
    <row r="16" customFormat="false" ht="13.8" hidden="false" customHeight="false" outlineLevel="0" collapsed="false">
      <c r="A16" s="27"/>
      <c r="B16" s="27"/>
      <c r="C16" s="27"/>
      <c r="D16" s="27"/>
      <c r="E16" s="27"/>
      <c r="F16" s="27"/>
      <c r="G16" s="27"/>
      <c r="H16" s="27"/>
      <c r="I16" s="27"/>
      <c r="J16" s="27"/>
      <c r="K16" s="27"/>
      <c r="L16" s="27"/>
      <c r="M16" s="27"/>
      <c r="N16" s="27"/>
      <c r="P16" s="28" t="s">
        <v>48</v>
      </c>
      <c r="Q16" s="29" t="n">
        <f aca="false">SUM('Channel Summary'!$B$6:$B$8)</f>
        <v>35466.1</v>
      </c>
    </row>
    <row r="17" customFormat="false" ht="13.8" hidden="false" customHeight="false" outlineLevel="0" collapsed="false">
      <c r="A17" s="27"/>
      <c r="B17" s="27"/>
      <c r="C17" s="27"/>
      <c r="D17" s="27"/>
      <c r="E17" s="27"/>
      <c r="F17" s="27"/>
      <c r="G17" s="27"/>
      <c r="H17" s="27"/>
      <c r="I17" s="27"/>
      <c r="J17" s="27"/>
      <c r="K17" s="27"/>
      <c r="L17" s="27"/>
      <c r="M17" s="27"/>
      <c r="N17" s="27"/>
      <c r="P17" s="28" t="s">
        <v>49</v>
      </c>
      <c r="Q17" s="29" t="n">
        <f aca="false">SUM('Category Summary'!$B$6:$B$9)</f>
        <v>35466.1</v>
      </c>
    </row>
    <row r="18" customFormat="false" ht="13.8" hidden="false" customHeight="false" outlineLevel="0" collapsed="false">
      <c r="A18" s="27"/>
      <c r="B18" s="27"/>
      <c r="C18" s="27"/>
      <c r="D18" s="27"/>
      <c r="E18" s="27"/>
      <c r="F18" s="27"/>
      <c r="G18" s="27"/>
      <c r="H18" s="27"/>
      <c r="I18" s="27"/>
      <c r="J18" s="27"/>
      <c r="K18" s="27"/>
      <c r="L18" s="27"/>
      <c r="M18" s="27"/>
      <c r="N18" s="27"/>
      <c r="P18" s="28" t="s">
        <v>50</v>
      </c>
      <c r="Q18" s="28" t="n">
        <f aca="false">SUM('Channel Summary'!$C$6:$C$8)</f>
        <v>480</v>
      </c>
    </row>
    <row r="19" customFormat="false" ht="13.8" hidden="false" customHeight="false" outlineLevel="0" collapsed="false">
      <c r="A19" s="27"/>
      <c r="B19" s="27"/>
      <c r="C19" s="27"/>
      <c r="D19" s="27"/>
      <c r="E19" s="27"/>
      <c r="F19" s="27"/>
      <c r="G19" s="27"/>
      <c r="H19" s="27"/>
      <c r="I19" s="27"/>
      <c r="J19" s="27"/>
      <c r="K19" s="27"/>
      <c r="L19" s="27"/>
      <c r="M19" s="27"/>
      <c r="N19" s="27"/>
      <c r="P19" s="28" t="s">
        <v>51</v>
      </c>
      <c r="Q19" s="28" t="n">
        <f aca="false">SUM('Category Summary'!$C$6:$C$9)</f>
        <v>480</v>
      </c>
    </row>
    <row r="20" customFormat="false" ht="13.8" hidden="false" customHeight="false" outlineLevel="0" collapsed="false">
      <c r="A20" s="27"/>
      <c r="B20" s="27"/>
      <c r="C20" s="27"/>
      <c r="D20" s="27"/>
      <c r="E20" s="27"/>
      <c r="F20" s="27"/>
      <c r="G20" s="27"/>
      <c r="H20" s="27"/>
      <c r="I20" s="27"/>
      <c r="J20" s="27"/>
      <c r="K20" s="27"/>
      <c r="L20" s="27"/>
      <c r="M20" s="27"/>
      <c r="N20" s="27"/>
    </row>
    <row r="21" customFormat="false" ht="13.8" hidden="false" customHeight="false" outlineLevel="0" collapsed="false"/>
    <row r="22" customFormat="false" ht="13.8" hidden="false" customHeight="false" outlineLevel="0" collapsed="false"/>
    <row r="23" customFormat="false" ht="30" hidden="false" customHeight="true" outlineLevel="0" collapsed="false">
      <c r="A23" s="3" t="s">
        <v>52</v>
      </c>
      <c r="B23" s="3" t="s">
        <v>53</v>
      </c>
    </row>
    <row r="24" customFormat="false" ht="139.5" hidden="false" customHeight="true" outlineLevel="0" collapsed="false">
      <c r="A24" s="31" t="s">
        <v>54</v>
      </c>
      <c r="B24" s="32" t="s">
        <v>55</v>
      </c>
    </row>
    <row r="25" customFormat="false" ht="84" hidden="false" customHeight="true" outlineLevel="0" collapsed="false">
      <c r="A25" s="33" t="s">
        <v>56</v>
      </c>
      <c r="B25" s="34" t="s">
        <v>57</v>
      </c>
    </row>
    <row r="26" customFormat="false" ht="84" hidden="false" customHeight="true" outlineLevel="0" collapsed="false">
      <c r="A26" s="33" t="s">
        <v>58</v>
      </c>
      <c r="B26" s="34" t="s">
        <v>59</v>
      </c>
    </row>
    <row r="27" customFormat="false" ht="84" hidden="false" customHeight="true" outlineLevel="0" collapsed="false">
      <c r="A27" s="35" t="s">
        <v>60</v>
      </c>
      <c r="B27" s="36" t="s">
        <v>61</v>
      </c>
    </row>
    <row r="30" customFormat="false" ht="13.5" hidden="false" customHeight="false" outlineLevel="0" collapsed="false">
      <c r="A30" s="37" t="s">
        <v>62</v>
      </c>
    </row>
    <row r="31" customFormat="false" ht="13.5" hidden="false" customHeight="true" outlineLevel="0" collapsed="false">
      <c r="H31" s="38" t="s">
        <v>63</v>
      </c>
      <c r="I31" s="38"/>
      <c r="J31" s="38"/>
      <c r="K31" s="38"/>
      <c r="L31" s="38"/>
      <c r="M31" s="38"/>
      <c r="N31" s="38"/>
    </row>
    <row r="32" customFormat="false" ht="13.8" hidden="false" customHeight="false" outlineLevel="0" collapsed="false">
      <c r="H32" s="38"/>
      <c r="I32" s="38"/>
      <c r="J32" s="38"/>
      <c r="K32" s="38"/>
      <c r="L32" s="38"/>
      <c r="M32" s="38"/>
      <c r="N32" s="38"/>
    </row>
    <row r="33" customFormat="false" ht="13.8" hidden="false" customHeight="false" outlineLevel="0" collapsed="false">
      <c r="H33" s="38"/>
      <c r="I33" s="38"/>
      <c r="J33" s="38"/>
      <c r="K33" s="38"/>
      <c r="L33" s="38"/>
      <c r="M33" s="38"/>
      <c r="N33" s="38"/>
    </row>
    <row r="34" customFormat="false" ht="13.8" hidden="false" customHeight="false" outlineLevel="0" collapsed="false">
      <c r="H34" s="38"/>
      <c r="I34" s="38"/>
      <c r="J34" s="38"/>
      <c r="K34" s="38"/>
      <c r="L34" s="38"/>
      <c r="M34" s="38"/>
      <c r="N34" s="38"/>
    </row>
    <row r="35" customFormat="false" ht="13.8" hidden="false" customHeight="false" outlineLevel="0" collapsed="false">
      <c r="H35" s="38"/>
      <c r="I35" s="38"/>
      <c r="J35" s="38"/>
      <c r="K35" s="38"/>
      <c r="L35" s="38"/>
      <c r="M35" s="38"/>
      <c r="N35" s="38"/>
    </row>
    <row r="36" customFormat="false" ht="13.8" hidden="false" customHeight="false" outlineLevel="0" collapsed="false">
      <c r="H36" s="38"/>
      <c r="I36" s="38"/>
      <c r="J36" s="38"/>
      <c r="K36" s="38"/>
      <c r="L36" s="38"/>
      <c r="M36" s="38"/>
      <c r="N36" s="38"/>
    </row>
    <row r="37" customFormat="false" ht="13.8" hidden="false" customHeight="false" outlineLevel="0" collapsed="false">
      <c r="H37" s="38"/>
      <c r="I37" s="38"/>
      <c r="J37" s="38"/>
      <c r="K37" s="38"/>
      <c r="L37" s="38"/>
      <c r="M37" s="38"/>
      <c r="N37" s="38"/>
    </row>
    <row r="38" customFormat="false" ht="13.8" hidden="false" customHeight="false" outlineLevel="0" collapsed="false">
      <c r="H38" s="38"/>
      <c r="I38" s="38"/>
      <c r="J38" s="38"/>
      <c r="K38" s="38"/>
      <c r="L38" s="38"/>
      <c r="M38" s="38"/>
      <c r="N38" s="38"/>
    </row>
    <row r="39" customFormat="false" ht="13.8" hidden="false" customHeight="false" outlineLevel="0" collapsed="false"/>
    <row r="40" customFormat="false" ht="13.8" hidden="false" customHeight="false" outlineLevel="0" collapsed="false"/>
    <row r="41" customFormat="false" ht="13.8" hidden="false" customHeight="false" outlineLevel="0" collapsed="false"/>
    <row r="42" customFormat="false" ht="13.8" hidden="false" customHeight="false" outlineLevel="0" collapsed="false"/>
    <row r="43" customFormat="false" ht="13.8" hidden="false" customHeight="false" outlineLevel="0" collapsed="false"/>
    <row r="44" customFormat="false" ht="13.8" hidden="false" customHeight="false" outlineLevel="0" collapsed="false"/>
    <row r="45" customFormat="false" ht="13.8" hidden="false" customHeight="false" outlineLevel="0" collapsed="false"/>
    <row r="46" customFormat="false" ht="13.8" hidden="false" customHeight="false" outlineLevel="0" collapsed="false"/>
    <row r="47" customFormat="false" ht="13.8" hidden="false" customHeight="false" outlineLevel="0" collapsed="false"/>
    <row r="48" customFormat="false" ht="13.8" hidden="false" customHeight="false" outlineLevel="0" collapsed="false">
      <c r="A48" s="37" t="s">
        <v>64</v>
      </c>
    </row>
    <row r="49" customFormat="false" ht="13.8" hidden="false" customHeight="false" outlineLevel="0" collapsed="false">
      <c r="A49" s="39" t="s">
        <v>65</v>
      </c>
    </row>
    <row r="50" customFormat="false" ht="13.8" hidden="false" customHeight="false" outlineLevel="0" collapsed="false">
      <c r="H50" s="40" t="s">
        <v>66</v>
      </c>
    </row>
    <row r="51" customFormat="false" ht="13.8" hidden="false" customHeight="false" outlineLevel="0" collapsed="false"/>
    <row r="52" customFormat="false" ht="13.8" hidden="false" customHeight="false" outlineLevel="0" collapsed="false"/>
    <row r="53" customFormat="false" ht="13.8" hidden="false" customHeight="false" outlineLevel="0" collapsed="false"/>
    <row r="54" customFormat="false" ht="13.8" hidden="false" customHeight="false" outlineLevel="0" collapsed="false"/>
    <row r="55" customFormat="false" ht="13.8" hidden="false" customHeight="false" outlineLevel="0" collapsed="false"/>
    <row r="56" customFormat="false" ht="13.8" hidden="false" customHeight="false" outlineLevel="0" collapsed="false"/>
    <row r="57" customFormat="false" ht="13.8" hidden="false" customHeight="false" outlineLevel="0" collapsed="false"/>
    <row r="58" customFormat="false" ht="13.8" hidden="false" customHeight="false" outlineLevel="0" collapsed="false"/>
    <row r="59" customFormat="false" ht="13.8" hidden="false" customHeight="false" outlineLevel="0" collapsed="false"/>
    <row r="60" customFormat="false" ht="13.8" hidden="false" customHeight="false" outlineLevel="0" collapsed="false"/>
    <row r="61" customFormat="false" ht="13.8" hidden="false" customHeight="false" outlineLevel="0" collapsed="false"/>
    <row r="62" customFormat="false" ht="13.8" hidden="false" customHeight="false" outlineLevel="0" collapsed="false"/>
    <row r="63" customFormat="false" ht="13.8" hidden="false" customHeight="false" outlineLevel="0" collapsed="false"/>
    <row r="64" customFormat="false" ht="13.8" hidden="false" customHeight="false" outlineLevel="0" collapsed="false"/>
    <row r="65" customFormat="false" ht="13.8" hidden="false" customHeight="false" outlineLevel="0" collapsed="false"/>
    <row r="66" customFormat="false" ht="13.8" hidden="false" customHeight="false" outlineLevel="0" collapsed="false"/>
    <row r="67" customFormat="false" ht="13.8" hidden="false" customHeight="false" outlineLevel="0" collapsed="false">
      <c r="A67" s="41" t="s">
        <v>67</v>
      </c>
    </row>
    <row r="68" customFormat="false" ht="42" hidden="false" customHeight="true" outlineLevel="0" collapsed="false">
      <c r="A68" s="38" t="s">
        <v>68</v>
      </c>
      <c r="B68" s="38"/>
      <c r="C68" s="38"/>
      <c r="D68" s="38"/>
      <c r="E68" s="38"/>
      <c r="F68" s="38"/>
      <c r="G68" s="38"/>
      <c r="H68" s="38"/>
      <c r="I68" s="38"/>
      <c r="J68" s="38"/>
      <c r="K68" s="38"/>
      <c r="L68" s="38"/>
      <c r="M68" s="38"/>
      <c r="N68" s="38"/>
    </row>
    <row r="69" customFormat="false" ht="42" hidden="false" customHeight="true" outlineLevel="0" collapsed="false">
      <c r="A69" s="38" t="s">
        <v>69</v>
      </c>
      <c r="B69" s="38"/>
      <c r="C69" s="38"/>
      <c r="D69" s="38"/>
      <c r="E69" s="38"/>
      <c r="F69" s="38"/>
      <c r="G69" s="38"/>
      <c r="H69" s="38"/>
      <c r="I69" s="38"/>
      <c r="J69" s="38"/>
      <c r="K69" s="38"/>
      <c r="L69" s="38"/>
      <c r="M69" s="38"/>
      <c r="N69" s="38"/>
    </row>
    <row r="71" customFormat="false" ht="13.5" hidden="false" customHeight="false" outlineLevel="0" collapsed="false">
      <c r="A71" s="41" t="s">
        <v>70</v>
      </c>
    </row>
    <row r="72" customFormat="false" ht="42" hidden="false" customHeight="true" outlineLevel="0" collapsed="false">
      <c r="A72" s="38" t="s">
        <v>71</v>
      </c>
      <c r="B72" s="38"/>
      <c r="C72" s="38"/>
      <c r="D72" s="38"/>
      <c r="E72" s="38"/>
      <c r="F72" s="38"/>
      <c r="G72" s="38"/>
      <c r="H72" s="38"/>
      <c r="I72" s="38"/>
      <c r="J72" s="38"/>
      <c r="K72" s="38"/>
      <c r="L72" s="38"/>
      <c r="M72" s="38"/>
      <c r="N72" s="38"/>
    </row>
  </sheetData>
  <mergeCells count="8">
    <mergeCell ref="A1:N1"/>
    <mergeCell ref="A2:N2"/>
    <mergeCell ref="A5:G5"/>
    <mergeCell ref="H5:N5"/>
    <mergeCell ref="H31:N38"/>
    <mergeCell ref="A68:N68"/>
    <mergeCell ref="A69:N69"/>
    <mergeCell ref="A72:N7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2026-10-06T14:11:32Z</dcterms:created>
  <dc:creator>openpyxl</dc:creator>
  <dc:description/>
  <dc:language>en-US</dc:language>
  <cp:lastModifiedBy/>
  <dcterms:modified xsi:type="dcterms:W3CDTF">2026-10-06T14:11:34Z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