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Instructions" sheetId="1" state="visible" r:id="rId3"/>
    <sheet name="Category Performance" sheetId="2" state="visible" r:id="rId4"/>
    <sheet name="Channel Composition" sheetId="3" state="visible" r:id="rId5"/>
    <sheet name="Chart Workspace" sheetId="4" state="visible" r:id="rId6"/>
    <sheet name="Dashboard" sheetId="5" state="visible" r:id="rId7"/>
  </sheets>
  <definedNames>
    <definedName function="false" hidden="false" localSheetId="4" name="_xlnm.Print_Area" vbProcedure="false">Dashboard!$A$1:$T$22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<sst xmlns="http://schemas.openxmlformats.org/spreadsheetml/2006/main" count="92" uniqueCount="75">
  <si>
    <t xml:space="preserve">Lab 2 Chart Choice and Visual Design</t>
  </si>
  <si>
    <t xml:space="preserve">APIO 114 Data Visualization | Semester 2027-01</t>
  </si>
  <si>
    <t xml:space="preserve">Student name</t>
  </si>
  <si>
    <t xml:space="preserve">اروى حمدان الحربي</t>
  </si>
  <si>
    <t xml:space="preserve">Student ID</t>
  </si>
  <si>
    <t xml:space="preserve">2713963</t>
  </si>
  <si>
    <t xml:space="preserve">Duration</t>
  </si>
  <si>
    <t xml:space="preserve">90 minutes</t>
  </si>
  <si>
    <t xml:space="preserve">Primary file</t>
  </si>
  <si>
    <t xml:space="preserve">Lab_02_Chart_Choice_and_Design.xlsx</t>
  </si>
  <si>
    <t xml:space="preserve">Save as</t>
  </si>
  <si>
    <t xml:space="preserve">APIO114_Lab02_2713963.xlsx</t>
  </si>
  <si>
    <t xml:space="preserve">Submission</t>
  </si>
  <si>
    <t xml:space="preserve">Completed workbook and exported chart or dashboard image</t>
  </si>
  <si>
    <t xml:space="preserve">Full directions</t>
  </si>
  <si>
    <t xml:space="preserve">See APIO114 Lab Manual 2027-01</t>
  </si>
  <si>
    <t xml:space="preserve">Task checklist</t>
  </si>
  <si>
    <t xml:space="preserve">Step</t>
  </si>
  <si>
    <t xml:space="preserve">Required task</t>
  </si>
  <si>
    <t xml:space="preserve">Complete</t>
  </si>
  <si>
    <t xml:space="preserve">Compare category performance with a sorted horizontal bar chart.</t>
  </si>
  <si>
    <t xml:space="preserve">Show channel composition with a doughnut chart only after confirming part-to-whole.</t>
  </si>
  <si>
    <t xml:space="preserve">Apply Gestalt similarity and proximity to group related elements.</t>
  </si>
  <si>
    <t xml:space="preserve">Use one highlight color and direct labels where useful.</t>
  </si>
  <si>
    <t xml:space="preserve">Create a misleading version, then explain and correct the distortion.</t>
  </si>
  <si>
    <t xml:space="preserve">Category Performance</t>
  </si>
  <si>
    <t xml:space="preserve">Use this summary to create a comparison chart.</t>
  </si>
  <si>
    <t xml:space="preserve">Category</t>
  </si>
  <si>
    <t xml:space="preserve">Revenue SAR</t>
  </si>
  <si>
    <t xml:space="preserve">Orders</t>
  </si>
  <si>
    <t xml:space="preserve">Average Rating</t>
  </si>
  <si>
    <t xml:space="preserve">Beverages</t>
  </si>
  <si>
    <t xml:space="preserve">Snacks</t>
  </si>
  <si>
    <t xml:space="preserve">Meals</t>
  </si>
  <si>
    <t xml:space="preserve">Desserts</t>
  </si>
  <si>
    <t xml:space="preserve">Channel Composition</t>
  </si>
  <si>
    <t xml:space="preserve">Use this part-to-whole data only if the resulting chart remains easy</t>
  </si>
  <si>
    <t xml:space="preserve">Channel</t>
  </si>
  <si>
    <t xml:space="preserve">Click and Collect</t>
  </si>
  <si>
    <t xml:space="preserve">Delivery</t>
  </si>
  <si>
    <t xml:space="preserve">In Store</t>
  </si>
  <si>
    <t xml:space="preserve">Chart Workspace</t>
  </si>
  <si>
    <t xml:space="preserve">Create the required charts and record your design decisions.</t>
  </si>
  <si>
    <t xml:space="preserve">Chart helper tables (formulas – sorted from the source sheets)</t>
  </si>
  <si>
    <t xml:space="preserve">Chart 1 Revenue by category</t>
  </si>
  <si>
    <t xml:space="preserve">Share</t>
  </si>
  <si>
    <t xml:space="preserve">Total</t>
  </si>
  <si>
    <t xml:space="preserve">Check: category total</t>
  </si>
  <si>
    <t xml:space="preserve">Orders: categories</t>
  </si>
  <si>
    <t xml:space="preserve">Orders: channels</t>
  </si>
  <si>
    <t xml:space="preserve">Design decision</t>
  </si>
  <si>
    <t xml:space="preserve">Your explanation</t>
  </si>
  <si>
    <t xml:space="preserve">Chart choice</t>
  </si>
  <si>
    <t xml:space="preserve">A horizontal bar chart, because the question is a comparison between categories. Viewers compare bar lengths on a common zero baseline very accurately, and the horizontal layout keeps the category names easy to read.</t>
  </si>
  <si>
    <t xml:space="preserve">Order</t>
  </si>
  <si>
    <t xml:space="preserve">Bars are sorted by revenue from highest (Meals, SAR 11,864) to lowest (Snacks, SAR 6,567), so the chart reads as a ranking and bar length and labels show the same order.</t>
  </si>
  <si>
    <t xml:space="preserve">Color</t>
  </si>
  <si>
    <t xml:space="preserve">One neutral grey-blue hue for all bars (Gestalt similarity: same color = same kind of item). Only Meals, the category named in the title, is highlighted in dark blue as the single preattentive accent.</t>
  </si>
  <si>
    <t xml:space="preserve">Labels and scale</t>
  </si>
  <si>
    <t xml:space="preserve">Revenue values are labelled directly at the end of each bar (Gestalt proximity), so the legend was removed because it only repeated the category names. The value axis starts at 0 so bar length is proportional to revenue; no gridlines, 3D or gradients.</t>
  </si>
  <si>
    <t xml:space="preserve">Chart 2 Revenue by channel</t>
  </si>
  <si>
    <t xml:space="preserve">The data is part-to-whole: the three channels add up to the same total as the categories (SAR 35,467) and every order belongs to one channel (3 × 160 = 480 orders). However, the shares are very close (35.4%, 33.4%, 31.2%), so doughnut slices would look almost equal and be hard to compare. Following the lab rule, a sorted bar chart of percentage share was used instead of a doughnut.</t>
  </si>
  <si>
    <t xml:space="preserve">Channels are sorted from the largest share (Click and Collect) to the smallest (In Store), so the largest channel is the top bar and can be found in under five seconds.</t>
  </si>
  <si>
    <t xml:space="preserve">All bars share one grey-blue hue (similarity); only Click and Collect, named in the title, is highlighted in dark blue. Flat colors with good contrast – no gradients, 3D or exploded slices.</t>
  </si>
  <si>
    <t xml:space="preserve">Each bar is labelled directly with its percentage share (proximity), so no legend is needed. The axis starts at 0% so the small differences between channels are shown honestly.</t>
  </si>
  <si>
    <t xml:space="preserve">Misleading chart – diagnose and repair</t>
  </si>
  <si>
    <t xml:space="preserve">A) Misleading version (duplicate of the channel chart with the value axis truncated at SAR 10,000) – not part of the final charts</t>
  </si>
  <si>
    <t xml:space="preserve">How the change distorts perception</t>
  </si>
  <si>
    <t xml:space="preserve">Because the value axis starts at SAR 10,000 instead of 0, the visible part of the Click and Collect bar (2,557) is about 2.4 times the In Store bar (1,072), so it looks more than twice as large even though its revenue is only about 13% higher (SAR 12,557 vs SAR 11,072).</t>
  </si>
  <si>
    <t xml:space="preserve">Viewers judge bars by their length rather than by reading the axis numbers, so the truncated axis exaggerates small differences and makes In Store look like a weak channel when all three channels are actually close.</t>
  </si>
  <si>
    <t xml:space="preserve">How it was corrected</t>
  </si>
  <si>
    <t xml:space="preserve">The axis minimum was reset to 0, the bars were sorted from largest to smallest, values were labelled directly, the title was rewritten to state the real finding, and only the leading channel is highlighted. The corrected version is kept below for submission.</t>
  </si>
  <si>
    <t xml:space="preserve">B) Corrected version (axis starts at 0)</t>
  </si>
  <si>
    <t xml:space="preserve">APIO 114 – Lab 2 Chart Choice and Visual Design  |  Student ID 2713963</t>
  </si>
  <si>
    <t xml:space="preserve">Final corrected charts: category comparison and channel composition</t>
  </si>
</sst>
</file>

<file path=xl/styles.xml><?xml version="1.0" encoding="utf-8"?>
<styleSheet xmlns="http://schemas.openxmlformats.org/spreadsheetml/2006/main">
  <numFmts count="5">
    <numFmt numFmtId="164" formatCode="General"/>
    <numFmt numFmtId="165" formatCode="&quot;SAR &quot;#,##0"/>
    <numFmt numFmtId="166" formatCode="0"/>
    <numFmt numFmtId="167" formatCode="0.00"/>
    <numFmt numFmtId="168" formatCode="0.0%"/>
  </numFmts>
  <fonts count="16">
    <font>
      <sz val="11"/>
      <color theme="1"/>
      <name val="Calibri"/>
      <family val="2"/>
      <charset val="1"/>
    </font>
    <font>
      <sz val="10"/>
      <name val="Arial"/>
      <family val="0"/>
    </font>
    <font>
      <sz val="10"/>
      <name val="Arial"/>
      <family val="0"/>
    </font>
    <font>
      <sz val="10"/>
      <name val="Arial"/>
      <family val="0"/>
    </font>
    <font>
      <b val="true"/>
      <sz val="11"/>
      <name val="Arial"/>
      <family val="0"/>
      <charset val="1"/>
    </font>
    <font>
      <i val="true"/>
      <sz val="9"/>
      <name val="Arial"/>
      <family val="0"/>
      <charset val="1"/>
    </font>
    <font>
      <b val="true"/>
      <sz val="10"/>
      <color rgb="FFFFFFFF"/>
      <name val="Arial"/>
      <family val="0"/>
      <charset val="1"/>
    </font>
    <font>
      <sz val="10"/>
      <name val="Arial"/>
      <family val="0"/>
      <charset val="1"/>
    </font>
    <font>
      <b val="true"/>
      <sz val="10"/>
      <name val="Arial"/>
      <family val="0"/>
      <charset val="1"/>
    </font>
    <font>
      <b val="true"/>
      <sz val="10"/>
      <color rgb="FF008000"/>
      <name val="Arial"/>
      <family val="0"/>
      <charset val="1"/>
    </font>
    <font>
      <sz val="10"/>
      <color rgb="FF0000FF"/>
      <name val="Arial"/>
      <family val="0"/>
      <charset val="1"/>
    </font>
    <font>
      <b val="true"/>
      <sz val="10"/>
      <color rgb="FFC00000"/>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3"/>
      <color rgb="FF1B365D"/>
      <name val="Arial"/>
      <family val="0"/>
      <charset val="1"/>
    </font>
  </fonts>
  <fills count="4">
    <fill>
      <patternFill patternType="none"/>
    </fill>
    <fill>
      <patternFill patternType="gray125"/>
    </fill>
    <fill>
      <patternFill patternType="solid">
        <fgColor rgb="FF1B365D"/>
        <bgColor rgb="FF333333"/>
      </patternFill>
    </fill>
    <fill>
      <patternFill patternType="solid">
        <fgColor rgb="FFDDEBF7"/>
        <bgColor rgb="FFD9D9D9"/>
      </patternFill>
    </fill>
  </fills>
  <borders count="2">
    <border diagonalUp="false" diagonalDown="false">
      <left/>
      <right/>
      <top/>
      <bottom/>
      <diagonal/>
    </border>
    <border diagonalUp="false" diagonalDown="false">
      <left/>
      <right/>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right"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7" fontId="10"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A9B7C9"/>
      <rgbColor rgb="FF878787"/>
      <rgbColor rgb="FF9999FF"/>
      <rgbColor rgb="FF993366"/>
      <rgbColor rgb="FFFFFFCC"/>
      <rgbColor rgb="FFDDEBF7"/>
      <rgbColor rgb="FF660066"/>
      <rgbColor rgb="FFFF8080"/>
      <rgbColor rgb="FF1F5C8B"/>
      <rgbColor rgb="FFD0D0D0"/>
      <rgbColor rgb="FF000080"/>
      <rgbColor rgb="FFFF00FF"/>
      <rgbColor rgb="FFFFFF00"/>
      <rgbColor rgb="FF00FFFF"/>
      <rgbColor rgb="FF800080"/>
      <rgbColor rgb="FF800000"/>
      <rgbColor rgb="FF008080"/>
      <rgbColor rgb="FF0000FF"/>
      <rgbColor rgb="FF00CCFF"/>
      <rgbColor rgb="FFCCFFFF"/>
      <rgbColor rgb="FFD9D9D9"/>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B365D"/>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Meals earn the highest revenue of all categories</a:t>
            </a:r>
          </a:p>
        </c:rich>
      </c:tx>
      <c:overlay val="0"/>
      <c:spPr>
        <a:noFill/>
        <a:ln w="0">
          <a:noFill/>
        </a:ln>
      </c:spPr>
    </c:title>
    <c:autoTitleDeleted val="0"/>
    <c:plotArea>
      <c:barChart>
        <c:barDir val="bar"/>
        <c:grouping val="clustered"/>
        <c:varyColors val="0"/>
        <c:ser>
          <c:idx val="0"/>
          <c:order val="0"/>
          <c:tx>
            <c:strRef>
              <c:f>'Chart Workspace'!K4</c:f>
              <c:strCache>
                <c:ptCount val="1"/>
                <c:pt idx="0">
                  <c:v>Revenue SAR</c:v>
                </c:pt>
              </c:strCache>
            </c:strRef>
          </c:tx>
          <c:spPr>
            <a:solidFill>
              <a:srgbClr val="a9b7c9"/>
            </a:solidFill>
            <a:ln w="0">
              <a:solidFill>
                <a:srgbClr val="a9b7c9"/>
              </a:solidFill>
            </a:ln>
          </c:spPr>
          <c:invertIfNegative val="0"/>
          <c:dPt>
            <c:idx val="3"/>
            <c:invertIfNegative val="0"/>
            <c:spPr>
              <a:solidFill>
                <a:srgbClr val="1f5c8b"/>
              </a:solidFill>
              <a:ln w="0">
                <a:solidFill>
                  <a:srgbClr val="1f5c8b"/>
                </a:solidFill>
              </a:ln>
            </c:spPr>
          </c:dPt>
          <c:dLbls>
            <c:numFmt formatCode="&quot;SAR &quot;#,##0" sourceLinked="1"/>
            <c:dLbl>
              <c:idx val="3"/>
              <c:numFmt formatCode="&quot;SAR &quot;#,##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'Chart Workspace'!$J$5:$J$8</c:f>
              <c:strCache>
                <c:ptCount val="4"/>
                <c:pt idx="0">
                  <c:v>Snacks</c:v>
                </c:pt>
                <c:pt idx="1">
                  <c:v>Beverages</c:v>
                </c:pt>
                <c:pt idx="2">
                  <c:v>Desserts</c:v>
                </c:pt>
                <c:pt idx="3">
                  <c:v>Meals</c:v>
                </c:pt>
              </c:strCache>
            </c:strRef>
          </c:cat>
          <c:val>
            <c:numRef>
              <c:f>'Chart Workspace'!$K$5:$K$8</c:f>
              <c:numCache>
                <c:formatCode>"SAR "#,##0</c:formatCode>
                <c:ptCount val="4"/>
                <c:pt idx="0">
                  <c:v>6567</c:v>
                </c:pt>
                <c:pt idx="1">
                  <c:v>6994</c:v>
                </c:pt>
                <c:pt idx="2">
                  <c:v>10042</c:v>
                </c:pt>
                <c:pt idx="3">
                  <c:v>11864</c:v>
                </c:pt>
              </c:numCache>
            </c:numRef>
          </c:val>
        </c:ser>
        <c:gapWidth val="55"/>
        <c:overlap val="0"/>
        <c:axId val="9025491"/>
        <c:axId val="11033005"/>
      </c:barChart>
      <c:catAx>
        <c:axId val="902549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1033005"/>
        <c:crosses val="autoZero"/>
        <c:auto val="1"/>
        <c:lblAlgn val="ctr"/>
        <c:lblOffset val="100"/>
        <c:noMultiLvlLbl val="0"/>
      </c:catAx>
      <c:valAx>
        <c:axId val="11033005"/>
        <c:scaling>
          <c:orientation val="minMax"/>
          <c:min val="0"/>
        </c:scaling>
        <c:delete val="0"/>
        <c:axPos val="l"/>
        <c:title>
          <c:tx>
            <c:rich>
              <a:bodyPr rot="0"/>
              <a:lstStyle/>
              <a:p>
                <a:pPr>
                  <a:defRPr b="1" sz="1000" spc="-1" strike="noStrike">
                    <a:solidFill>
                      <a:srgbClr val="000000"/>
                    </a:solidFill>
                    <a:latin typeface="Calibri"/>
                  </a:defRPr>
                </a:pPr>
                <a:r>
                  <a:rPr b="1" sz="1000" spc="-1" strike="noStrike">
                    <a:solidFill>
                      <a:srgbClr val="000000"/>
                    </a:solidFill>
                    <a:latin typeface="Calibri"/>
                  </a:rPr>
                  <a:t>Revenue (SAR)</a:t>
                </a:r>
              </a:p>
            </c:rich>
          </c:tx>
          <c:overlay val="0"/>
          <c:spPr>
            <a:noFill/>
            <a:ln w="0">
              <a:noFill/>
            </a:ln>
          </c:spPr>
        </c:title>
        <c:numFmt formatCode="&quot;SAR &quot;#,##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02549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Click and Collect brings in the largest share of revenue, but all three channels are close</a:t>
            </a:r>
          </a:p>
        </c:rich>
      </c:tx>
      <c:overlay val="0"/>
      <c:spPr>
        <a:noFill/>
        <a:ln w="0">
          <a:noFill/>
        </a:ln>
      </c:spPr>
    </c:title>
    <c:autoTitleDeleted val="0"/>
    <c:plotArea>
      <c:barChart>
        <c:barDir val="bar"/>
        <c:grouping val="clustered"/>
        <c:varyColors val="0"/>
        <c:ser>
          <c:idx val="0"/>
          <c:order val="0"/>
          <c:tx>
            <c:strRef>
              <c:f>'Chart Workspace'!L10</c:f>
              <c:strCache>
                <c:ptCount val="1"/>
                <c:pt idx="0">
                  <c:v>Share</c:v>
                </c:pt>
              </c:strCache>
            </c:strRef>
          </c:tx>
          <c:spPr>
            <a:solidFill>
              <a:srgbClr val="a9b7c9"/>
            </a:solidFill>
            <a:ln w="0">
              <a:solidFill>
                <a:srgbClr val="a9b7c9"/>
              </a:solidFill>
            </a:ln>
          </c:spPr>
          <c:invertIfNegative val="0"/>
          <c:dPt>
            <c:idx val="2"/>
            <c:invertIfNegative val="0"/>
            <c:spPr>
              <a:solidFill>
                <a:srgbClr val="1f5c8b"/>
              </a:solidFill>
              <a:ln w="0">
                <a:solidFill>
                  <a:srgbClr val="1f5c8b"/>
                </a:solidFill>
              </a:ln>
            </c:spPr>
          </c:dPt>
          <c:dLbls>
            <c:numFmt formatCode="0.0%" sourceLinked="1"/>
            <c:dLbl>
              <c:idx val="2"/>
              <c:numFmt formatCode="0.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'Chart Workspace'!$J$11:$J$13</c:f>
              <c:strCache>
                <c:ptCount val="3"/>
                <c:pt idx="0">
                  <c:v>In Store</c:v>
                </c:pt>
                <c:pt idx="1">
                  <c:v>Delivery</c:v>
                </c:pt>
                <c:pt idx="2">
                  <c:v>Click and Collect</c:v>
                </c:pt>
              </c:strCache>
            </c:strRef>
          </c:cat>
          <c:val>
            <c:numRef>
              <c:f>'Chart Workspace'!$L$11:$L$13</c:f>
              <c:numCache>
                <c:formatCode>0.0%</c:formatCode>
                <c:ptCount val="3"/>
                <c:pt idx="0">
                  <c:v>0.312177517128598</c:v>
                </c:pt>
                <c:pt idx="1">
                  <c:v>0.333775058505089</c:v>
                </c:pt>
                <c:pt idx="2">
                  <c:v>0.354047424366312</c:v>
                </c:pt>
              </c:numCache>
            </c:numRef>
          </c:val>
        </c:ser>
        <c:gapWidth val="55"/>
        <c:overlap val="0"/>
        <c:axId val="6158267"/>
        <c:axId val="23420973"/>
      </c:barChart>
      <c:catAx>
        <c:axId val="615826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3420973"/>
        <c:crosses val="autoZero"/>
        <c:auto val="1"/>
        <c:lblAlgn val="ctr"/>
        <c:lblOffset val="100"/>
        <c:noMultiLvlLbl val="0"/>
      </c:catAx>
      <c:valAx>
        <c:axId val="23420973"/>
        <c:scaling>
          <c:orientation val="minMax"/>
          <c:min val="0"/>
        </c:scaling>
        <c:delete val="0"/>
        <c:axPos val="l"/>
        <c:title>
          <c:tx>
            <c:rich>
              <a:bodyPr rot="0"/>
              <a:lstStyle/>
              <a:p>
                <a:pPr>
                  <a:defRPr b="1" sz="1000" spc="-1" strike="noStrike">
                    <a:solidFill>
                      <a:srgbClr val="000000"/>
                    </a:solidFill>
                    <a:latin typeface="Calibri"/>
                  </a:defRPr>
                </a:pPr>
                <a:r>
                  <a:rPr b="1" sz="1000" spc="-1" strike="noStrike">
                    <a:solidFill>
                      <a:srgbClr val="000000"/>
                    </a:solidFill>
                    <a:latin typeface="Calibri"/>
                  </a:rPr>
                  <a:t>Share of total revenue</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15826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Click and Collect far outsells In Store (misleading)</a:t>
            </a:r>
          </a:p>
        </c:rich>
      </c:tx>
      <c:overlay val="0"/>
      <c:spPr>
        <a:noFill/>
        <a:ln w="0">
          <a:noFill/>
        </a:ln>
      </c:spPr>
    </c:title>
    <c:autoTitleDeleted val="0"/>
    <c:plotArea>
      <c:barChart>
        <c:barDir val="col"/>
        <c:grouping val="clustered"/>
        <c:varyColors val="0"/>
        <c:ser>
          <c:idx val="0"/>
          <c:order val="0"/>
          <c:tx>
            <c:strRef>
              <c:f>'Channel Composition'!B4</c:f>
              <c:strCache>
                <c:ptCount val="1"/>
                <c:pt idx="0">
                  <c:v>Revenue SAR</c:v>
                </c:pt>
              </c:strCache>
            </c:strRef>
          </c:tx>
          <c:spPr>
            <a:solidFill>
              <a:srgbClr val="1f5c8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'Channel Composition'!$A$5:$A$7</c:f>
              <c:strCache>
                <c:ptCount val="3"/>
                <c:pt idx="0">
                  <c:v>Click and Collect</c:v>
                </c:pt>
                <c:pt idx="1">
                  <c:v>Delivery</c:v>
                </c:pt>
                <c:pt idx="2">
                  <c:v>In Store</c:v>
                </c:pt>
              </c:strCache>
            </c:strRef>
          </c:cat>
          <c:val>
            <c:numRef>
              <c:f>'Channel Composition'!$B$5:$B$7</c:f>
              <c:numCache>
                <c:formatCode>"SAR "#,##0</c:formatCode>
                <c:ptCount val="3"/>
                <c:pt idx="0">
                  <c:v>12557</c:v>
                </c:pt>
                <c:pt idx="1">
                  <c:v>11838</c:v>
                </c:pt>
                <c:pt idx="2">
                  <c:v>11072</c:v>
                </c:pt>
              </c:numCache>
            </c:numRef>
          </c:val>
        </c:ser>
        <c:gapWidth val="150"/>
        <c:overlap val="0"/>
        <c:axId val="13383268"/>
        <c:axId val="19956579"/>
      </c:barChart>
      <c:catAx>
        <c:axId val="1338326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9956579"/>
        <c:crosses val="autoZero"/>
        <c:auto val="1"/>
        <c:lblAlgn val="ctr"/>
        <c:lblOffset val="100"/>
        <c:noMultiLvlLbl val="0"/>
      </c:catAx>
      <c:valAx>
        <c:axId val="19956579"/>
        <c:scaling>
          <c:orientation val="minMax"/>
          <c:max val="13000"/>
          <c:min val="10000"/>
        </c:scaling>
        <c:delete val="0"/>
        <c:axPos val="l"/>
        <c:majorGridlines>
          <c:spPr>
            <a:ln w="9360">
              <a:solidFill>
                <a:srgbClr val="878787"/>
              </a:solidFill>
              <a:round/>
            </a:ln>
          </c:spPr>
        </c:majorGridlines>
        <c:numFmt formatCode="&quot;SAR &quot;#,##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338326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Click and Collect earns the most revenue, only slightly ahead of the other channels</a:t>
            </a:r>
          </a:p>
        </c:rich>
      </c:tx>
      <c:overlay val="0"/>
      <c:spPr>
        <a:noFill/>
        <a:ln w="0">
          <a:noFill/>
        </a:ln>
      </c:spPr>
    </c:title>
    <c:autoTitleDeleted val="0"/>
    <c:plotArea>
      <c:barChart>
        <c:barDir val="bar"/>
        <c:grouping val="clustered"/>
        <c:varyColors val="0"/>
        <c:ser>
          <c:idx val="0"/>
          <c:order val="0"/>
          <c:tx>
            <c:strRef>
              <c:f>'Chart Workspace'!K10</c:f>
              <c:strCache>
                <c:ptCount val="1"/>
                <c:pt idx="0">
                  <c:v>Revenue SAR</c:v>
                </c:pt>
              </c:strCache>
            </c:strRef>
          </c:tx>
          <c:spPr>
            <a:solidFill>
              <a:srgbClr val="a9b7c9"/>
            </a:solidFill>
            <a:ln w="0">
              <a:solidFill>
                <a:srgbClr val="a9b7c9"/>
              </a:solidFill>
            </a:ln>
          </c:spPr>
          <c:invertIfNegative val="0"/>
          <c:dPt>
            <c:idx val="2"/>
            <c:invertIfNegative val="0"/>
            <c:spPr>
              <a:solidFill>
                <a:srgbClr val="1f5c8b"/>
              </a:solidFill>
              <a:ln w="0">
                <a:solidFill>
                  <a:srgbClr val="1f5c8b"/>
                </a:solidFill>
              </a:ln>
            </c:spPr>
          </c:dPt>
          <c:dLbls>
            <c:numFmt formatCode="&quot;SAR &quot;#,##0" sourceLinked="1"/>
            <c:dLbl>
              <c:idx val="2"/>
              <c:numFmt formatCode="&quot;SAR &quot;#,##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'Chart Workspace'!$J$11:$J$13</c:f>
              <c:strCache>
                <c:ptCount val="3"/>
                <c:pt idx="0">
                  <c:v>In Store</c:v>
                </c:pt>
                <c:pt idx="1">
                  <c:v>Delivery</c:v>
                </c:pt>
                <c:pt idx="2">
                  <c:v>Click and Collect</c:v>
                </c:pt>
              </c:strCache>
            </c:strRef>
          </c:cat>
          <c:val>
            <c:numRef>
              <c:f>'Chart Workspace'!$K$11:$K$13</c:f>
              <c:numCache>
                <c:formatCode>"SAR "#,##0</c:formatCode>
                <c:ptCount val="3"/>
                <c:pt idx="0">
                  <c:v>11072</c:v>
                </c:pt>
                <c:pt idx="1">
                  <c:v>11838</c:v>
                </c:pt>
                <c:pt idx="2">
                  <c:v>12557</c:v>
                </c:pt>
              </c:numCache>
            </c:numRef>
          </c:val>
        </c:ser>
        <c:gapWidth val="55"/>
        <c:overlap val="0"/>
        <c:axId val="88628349"/>
        <c:axId val="67840449"/>
      </c:barChart>
      <c:catAx>
        <c:axId val="8862834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7840449"/>
        <c:crosses val="autoZero"/>
        <c:auto val="1"/>
        <c:lblAlgn val="ctr"/>
        <c:lblOffset val="100"/>
        <c:noMultiLvlLbl val="0"/>
      </c:catAx>
      <c:valAx>
        <c:axId val="67840449"/>
        <c:scaling>
          <c:orientation val="minMax"/>
          <c:min val="0"/>
        </c:scaling>
        <c:delete val="0"/>
        <c:axPos val="l"/>
        <c:title>
          <c:tx>
            <c:rich>
              <a:bodyPr rot="0"/>
              <a:lstStyle/>
              <a:p>
                <a:pPr>
                  <a:defRPr b="1" sz="1000" spc="-1" strike="noStrike">
                    <a:solidFill>
                      <a:srgbClr val="000000"/>
                    </a:solidFill>
                    <a:latin typeface="Calibri"/>
                  </a:defRPr>
                </a:pPr>
                <a:r>
                  <a:rPr b="1" sz="1000" spc="-1" strike="noStrike">
                    <a:solidFill>
                      <a:srgbClr val="000000"/>
                    </a:solidFill>
                    <a:latin typeface="Calibri"/>
                  </a:rPr>
                  <a:t>Revenue (SAR)</a:t>
                </a:r>
              </a:p>
            </c:rich>
          </c:tx>
          <c:overlay val="0"/>
          <c:spPr>
            <a:noFill/>
            <a:ln w="0">
              <a:noFill/>
            </a:ln>
          </c:spPr>
        </c:title>
        <c:numFmt formatCode="&quot;SAR &quot;#,##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862834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Meals earn the highest revenue of all categories</a:t>
            </a:r>
          </a:p>
        </c:rich>
      </c:tx>
      <c:overlay val="0"/>
      <c:spPr>
        <a:noFill/>
        <a:ln w="0">
          <a:noFill/>
        </a:ln>
      </c:spPr>
    </c:title>
    <c:autoTitleDeleted val="0"/>
    <c:plotArea>
      <c:barChart>
        <c:barDir val="bar"/>
        <c:grouping val="clustered"/>
        <c:varyColors val="0"/>
        <c:ser>
          <c:idx val="0"/>
          <c:order val="0"/>
          <c:tx>
            <c:strRef>
              <c:f>'Chart Workspace'!K4</c:f>
              <c:strCache>
                <c:ptCount val="1"/>
                <c:pt idx="0">
                  <c:v>Revenue SAR</c:v>
                </c:pt>
              </c:strCache>
            </c:strRef>
          </c:tx>
          <c:spPr>
            <a:solidFill>
              <a:srgbClr val="a9b7c9"/>
            </a:solidFill>
            <a:ln w="0">
              <a:solidFill>
                <a:srgbClr val="a9b7c9"/>
              </a:solidFill>
            </a:ln>
          </c:spPr>
          <c:invertIfNegative val="0"/>
          <c:dPt>
            <c:idx val="3"/>
            <c:invertIfNegative val="0"/>
            <c:spPr>
              <a:solidFill>
                <a:srgbClr val="1f5c8b"/>
              </a:solidFill>
              <a:ln w="0">
                <a:solidFill>
                  <a:srgbClr val="1f5c8b"/>
                </a:solidFill>
              </a:ln>
            </c:spPr>
          </c:dPt>
          <c:dLbls>
            <c:numFmt formatCode="&quot;SAR &quot;#,##0" sourceLinked="1"/>
            <c:dLbl>
              <c:idx val="3"/>
              <c:numFmt formatCode="&quot;SAR &quot;#,##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'Chart Workspace'!$J$5:$J$8</c:f>
              <c:strCache>
                <c:ptCount val="4"/>
                <c:pt idx="0">
                  <c:v>Snacks</c:v>
                </c:pt>
                <c:pt idx="1">
                  <c:v>Beverages</c:v>
                </c:pt>
                <c:pt idx="2">
                  <c:v>Desserts</c:v>
                </c:pt>
                <c:pt idx="3">
                  <c:v>Meals</c:v>
                </c:pt>
              </c:strCache>
            </c:strRef>
          </c:cat>
          <c:val>
            <c:numRef>
              <c:f>'Chart Workspace'!$K$5:$K$8</c:f>
              <c:numCache>
                <c:formatCode>"SAR "#,##0</c:formatCode>
                <c:ptCount val="4"/>
                <c:pt idx="0">
                  <c:v>6567</c:v>
                </c:pt>
                <c:pt idx="1">
                  <c:v>6994</c:v>
                </c:pt>
                <c:pt idx="2">
                  <c:v>10042</c:v>
                </c:pt>
                <c:pt idx="3">
                  <c:v>11864</c:v>
                </c:pt>
              </c:numCache>
            </c:numRef>
          </c:val>
        </c:ser>
        <c:gapWidth val="55"/>
        <c:overlap val="0"/>
        <c:axId val="16235296"/>
        <c:axId val="43559666"/>
      </c:barChart>
      <c:catAx>
        <c:axId val="1623529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3559666"/>
        <c:crosses val="autoZero"/>
        <c:auto val="1"/>
        <c:lblAlgn val="ctr"/>
        <c:lblOffset val="100"/>
        <c:noMultiLvlLbl val="0"/>
      </c:catAx>
      <c:valAx>
        <c:axId val="43559666"/>
        <c:scaling>
          <c:orientation val="minMax"/>
          <c:min val="0"/>
        </c:scaling>
        <c:delete val="0"/>
        <c:axPos val="l"/>
        <c:title>
          <c:tx>
            <c:rich>
              <a:bodyPr rot="0"/>
              <a:lstStyle/>
              <a:p>
                <a:pPr>
                  <a:defRPr b="1" sz="1000" spc="-1" strike="noStrike">
                    <a:solidFill>
                      <a:srgbClr val="000000"/>
                    </a:solidFill>
                    <a:latin typeface="Calibri"/>
                  </a:defRPr>
                </a:pPr>
                <a:r>
                  <a:rPr b="1" sz="1000" spc="-1" strike="noStrike">
                    <a:solidFill>
                      <a:srgbClr val="000000"/>
                    </a:solidFill>
                    <a:latin typeface="Calibri"/>
                  </a:rPr>
                  <a:t>Revenue (SAR)</a:t>
                </a:r>
              </a:p>
            </c:rich>
          </c:tx>
          <c:overlay val="0"/>
          <c:spPr>
            <a:noFill/>
            <a:ln w="0">
              <a:noFill/>
            </a:ln>
          </c:spPr>
        </c:title>
        <c:numFmt formatCode="&quot;SAR &quot;#,##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623529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Click and Collect brings in the largest share, but channels are close</a:t>
            </a:r>
          </a:p>
        </c:rich>
      </c:tx>
      <c:overlay val="0"/>
      <c:spPr>
        <a:noFill/>
        <a:ln w="0">
          <a:noFill/>
        </a:ln>
      </c:spPr>
    </c:title>
    <c:autoTitleDeleted val="0"/>
    <c:plotArea>
      <c:barChart>
        <c:barDir val="bar"/>
        <c:grouping val="clustered"/>
        <c:varyColors val="0"/>
        <c:ser>
          <c:idx val="0"/>
          <c:order val="0"/>
          <c:tx>
            <c:strRef>
              <c:f>'Chart Workspace'!L10</c:f>
              <c:strCache>
                <c:ptCount val="1"/>
                <c:pt idx="0">
                  <c:v>Share</c:v>
                </c:pt>
              </c:strCache>
            </c:strRef>
          </c:tx>
          <c:spPr>
            <a:solidFill>
              <a:srgbClr val="a9b7c9"/>
            </a:solidFill>
            <a:ln w="0">
              <a:solidFill>
                <a:srgbClr val="a9b7c9"/>
              </a:solidFill>
            </a:ln>
          </c:spPr>
          <c:invertIfNegative val="0"/>
          <c:dPt>
            <c:idx val="2"/>
            <c:invertIfNegative val="0"/>
            <c:spPr>
              <a:solidFill>
                <a:srgbClr val="1f5c8b"/>
              </a:solidFill>
              <a:ln w="0">
                <a:solidFill>
                  <a:srgbClr val="1f5c8b"/>
                </a:solidFill>
              </a:ln>
            </c:spPr>
          </c:dPt>
          <c:dLbls>
            <c:numFmt formatCode="0.0%" sourceLinked="1"/>
            <c:dLbl>
              <c:idx val="2"/>
              <c:numFmt formatCode="0.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'Chart Workspace'!$J$11:$J$13</c:f>
              <c:strCache>
                <c:ptCount val="3"/>
                <c:pt idx="0">
                  <c:v>In Store</c:v>
                </c:pt>
                <c:pt idx="1">
                  <c:v>Delivery</c:v>
                </c:pt>
                <c:pt idx="2">
                  <c:v>Click and Collect</c:v>
                </c:pt>
              </c:strCache>
            </c:strRef>
          </c:cat>
          <c:val>
            <c:numRef>
              <c:f>'Chart Workspace'!$L$11:$L$13</c:f>
              <c:numCache>
                <c:formatCode>0.0%</c:formatCode>
                <c:ptCount val="3"/>
                <c:pt idx="0">
                  <c:v>0.312177517128598</c:v>
                </c:pt>
                <c:pt idx="1">
                  <c:v>0.333775058505089</c:v>
                </c:pt>
                <c:pt idx="2">
                  <c:v>0.354047424366312</c:v>
                </c:pt>
              </c:numCache>
            </c:numRef>
          </c:val>
        </c:ser>
        <c:gapWidth val="55"/>
        <c:overlap val="0"/>
        <c:axId val="26664629"/>
        <c:axId val="7341642"/>
      </c:barChart>
      <c:catAx>
        <c:axId val="2666462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341642"/>
        <c:crosses val="autoZero"/>
        <c:auto val="1"/>
        <c:lblAlgn val="ctr"/>
        <c:lblOffset val="100"/>
        <c:noMultiLvlLbl val="0"/>
      </c:catAx>
      <c:valAx>
        <c:axId val="7341642"/>
        <c:scaling>
          <c:orientation val="minMax"/>
          <c:min val="0"/>
        </c:scaling>
        <c:delete val="0"/>
        <c:axPos val="l"/>
        <c:title>
          <c:tx>
            <c:rich>
              <a:bodyPr rot="0"/>
              <a:lstStyle/>
              <a:p>
                <a:pPr>
                  <a:defRPr b="1" sz="1000" spc="-1" strike="noStrike">
                    <a:solidFill>
                      <a:srgbClr val="000000"/>
                    </a:solidFill>
                    <a:latin typeface="Calibri"/>
                  </a:defRPr>
                </a:pPr>
                <a:r>
                  <a:rPr b="1" sz="1000" spc="-1" strike="noStrike">
                    <a:solidFill>
                      <a:srgbClr val="000000"/>
                    </a:solidFill>
                    <a:latin typeface="Calibri"/>
                  </a:rPr>
                  <a:t>Share of total revenue</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666462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_rels/drawing2.xml.rels><?xml version="1.0" encoding="UTF-8"?>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xdr:row>
      <xdr:rowOff>0</xdr:rowOff>
    </xdr:from>
    <xdr:to>
      <xdr:col>3</xdr:col>
      <xdr:colOff>128520</xdr:colOff>
      <xdr:row>18</xdr:row>
      <xdr:rowOff>32760</xdr:rowOff>
    </xdr:to>
    <xdr:graphicFrame>
      <xdr:nvGraphicFramePr>
        <xdr:cNvPr id="0" name="Chart 1"/>
        <xdr:cNvGraphicFramePr/>
      </xdr:nvGraphicFramePr>
      <xdr:xfrm>
        <a:off x="0" y="762120"/>
        <a:ext cx="611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27</xdr:row>
      <xdr:rowOff>0</xdr:rowOff>
    </xdr:from>
    <xdr:to>
      <xdr:col>3</xdr:col>
      <xdr:colOff>128520</xdr:colOff>
      <xdr:row>41</xdr:row>
      <xdr:rowOff>32760</xdr:rowOff>
    </xdr:to>
    <xdr:graphicFrame>
      <xdr:nvGraphicFramePr>
        <xdr:cNvPr id="1" name="Chart 2"/>
        <xdr:cNvGraphicFramePr/>
      </xdr:nvGraphicFramePr>
      <xdr:xfrm>
        <a:off x="0" y="7562880"/>
        <a:ext cx="6119640" cy="26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51</xdr:row>
      <xdr:rowOff>0</xdr:rowOff>
    </xdr:from>
    <xdr:to>
      <xdr:col>3</xdr:col>
      <xdr:colOff>128520</xdr:colOff>
      <xdr:row>65</xdr:row>
      <xdr:rowOff>32760</xdr:rowOff>
    </xdr:to>
    <xdr:graphicFrame>
      <xdr:nvGraphicFramePr>
        <xdr:cNvPr id="2" name="Chart 3"/>
        <xdr:cNvGraphicFramePr/>
      </xdr:nvGraphicFramePr>
      <xdr:xfrm>
        <a:off x="0" y="14725800"/>
        <a:ext cx="6119640" cy="269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75</xdr:row>
      <xdr:rowOff>0</xdr:rowOff>
    </xdr:from>
    <xdr:to>
      <xdr:col>3</xdr:col>
      <xdr:colOff>128520</xdr:colOff>
      <xdr:row>89</xdr:row>
      <xdr:rowOff>32760</xdr:rowOff>
    </xdr:to>
    <xdr:graphicFrame>
      <xdr:nvGraphicFramePr>
        <xdr:cNvPr id="3" name="Chart 4"/>
        <xdr:cNvGraphicFramePr/>
      </xdr:nvGraphicFramePr>
      <xdr:xfrm>
        <a:off x="0" y="20383560"/>
        <a:ext cx="6119640" cy="269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xdr:row>
      <xdr:rowOff>176040</xdr:rowOff>
    </xdr:from>
    <xdr:to>
      <xdr:col>9</xdr:col>
      <xdr:colOff>255960</xdr:colOff>
      <xdr:row>18</xdr:row>
      <xdr:rowOff>187560</xdr:rowOff>
    </xdr:to>
    <xdr:graphicFrame>
      <xdr:nvGraphicFramePr>
        <xdr:cNvPr id="4" name="Chart 1"/>
        <xdr:cNvGraphicFramePr/>
      </xdr:nvGraphicFramePr>
      <xdr:xfrm>
        <a:off x="0" y="571680"/>
        <a:ext cx="5759640" cy="30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2</xdr:row>
      <xdr:rowOff>176040</xdr:rowOff>
    </xdr:from>
    <xdr:to>
      <xdr:col>19</xdr:col>
      <xdr:colOff>255960</xdr:colOff>
      <xdr:row>18</xdr:row>
      <xdr:rowOff>187560</xdr:rowOff>
    </xdr:to>
    <xdr:graphicFrame>
      <xdr:nvGraphicFramePr>
        <xdr:cNvPr id="5" name="Chart 2"/>
        <xdr:cNvGraphicFramePr/>
      </xdr:nvGraphicFramePr>
      <xdr:xfrm>
        <a:off x="6114960" y="571680"/>
        <a:ext cx="5759640" cy="305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78"/>
    <col collapsed="false" customWidth="true" hidden="false" outlineLevel="0" max="3" min="3" style="0" width="14"/>
  </cols>
  <sheetData>
    <row r="1" customFormat="false" ht="1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t="s">
        <v>3</v>
      </c>
    </row>
    <row r="5" customFormat="false" ht="15" hidden="false" customHeight="false" outlineLevel="0" collapsed="false">
      <c r="A5" s="3" t="s">
        <v>4</v>
      </c>
      <c r="B5" s="4" t="s">
        <v>5</v>
      </c>
    </row>
    <row r="6" customFormat="false" ht="15" hidden="false" customHeight="false" outlineLevel="0" collapsed="false">
      <c r="A6" s="3" t="s">
        <v>6</v>
      </c>
      <c r="B6" s="4" t="s">
        <v>7</v>
      </c>
    </row>
    <row r="7" customFormat="false" ht="15" hidden="false" customHeight="false" outlineLevel="0" collapsed="false">
      <c r="A7" s="3" t="s">
        <v>8</v>
      </c>
      <c r="B7" s="4" t="s">
        <v>9</v>
      </c>
    </row>
    <row r="8" customFormat="false" ht="15" hidden="false" customHeight="false" outlineLevel="0" collapsed="false">
      <c r="A8" s="3" t="s">
        <v>10</v>
      </c>
      <c r="B8" s="4" t="s">
        <v>11</v>
      </c>
    </row>
    <row r="9" customFormat="false" ht="15" hidden="false" customHeight="false" outlineLevel="0" collapsed="false">
      <c r="A9" s="3" t="s">
        <v>12</v>
      </c>
      <c r="B9" s="4" t="s">
        <v>13</v>
      </c>
    </row>
    <row r="10" customFormat="false" ht="15" hidden="false" customHeight="false" outlineLevel="0" collapsed="false">
      <c r="A10" s="3" t="s">
        <v>14</v>
      </c>
      <c r="B10" s="4" t="s">
        <v>15</v>
      </c>
    </row>
    <row r="12" customFormat="false" ht="15" hidden="false" customHeight="false" outlineLevel="0" collapsed="false">
      <c r="A12" s="5" t="s">
        <v>16</v>
      </c>
      <c r="B12" s="6"/>
      <c r="C12" s="6"/>
    </row>
    <row r="13" customFormat="false" ht="15" hidden="false" customHeight="false" outlineLevel="0" collapsed="false">
      <c r="A13" s="7" t="s">
        <v>17</v>
      </c>
      <c r="B13" s="7" t="s">
        <v>18</v>
      </c>
      <c r="C13" s="7" t="s">
        <v>19</v>
      </c>
    </row>
    <row r="14" customFormat="false" ht="15" hidden="false" customHeight="false" outlineLevel="0" collapsed="false">
      <c r="A14" s="8" t="n">
        <v>1</v>
      </c>
      <c r="B14" s="4" t="s">
        <v>20</v>
      </c>
      <c r="C14" s="9" t="s">
        <v>19</v>
      </c>
    </row>
    <row r="15" customFormat="false" ht="15" hidden="false" customHeight="false" outlineLevel="0" collapsed="false">
      <c r="A15" s="8" t="n">
        <v>2</v>
      </c>
      <c r="B15" s="4" t="s">
        <v>21</v>
      </c>
      <c r="C15" s="9" t="s">
        <v>19</v>
      </c>
    </row>
    <row r="16" customFormat="false" ht="15" hidden="false" customHeight="false" outlineLevel="0" collapsed="false">
      <c r="A16" s="8" t="n">
        <v>3</v>
      </c>
      <c r="B16" s="4" t="s">
        <v>22</v>
      </c>
      <c r="C16" s="9" t="s">
        <v>19</v>
      </c>
    </row>
    <row r="17" customFormat="false" ht="15" hidden="false" customHeight="false" outlineLevel="0" collapsed="false">
      <c r="A17" s="8" t="n">
        <v>4</v>
      </c>
      <c r="B17" s="4" t="s">
        <v>23</v>
      </c>
      <c r="C17" s="9" t="s">
        <v>19</v>
      </c>
    </row>
    <row r="18" customFormat="false" ht="15" hidden="false" customHeight="false" outlineLevel="0" collapsed="false">
      <c r="A18" s="8" t="n">
        <v>5</v>
      </c>
      <c r="B18" s="4" t="s">
        <v>24</v>
      </c>
      <c r="C18" s="9"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5"/>
    <col collapsed="false" customWidth="true" hidden="false" outlineLevel="0" max="3" min="3" style="0" width="10"/>
    <col collapsed="false" customWidth="true" hidden="false" outlineLevel="0" max="4" min="4" style="0" width="15"/>
  </cols>
  <sheetData>
    <row r="1" customFormat="false" ht="15" hidden="false" customHeight="false" outlineLevel="0" collapsed="false">
      <c r="A1" s="10" t="s">
        <v>25</v>
      </c>
    </row>
    <row r="2" customFormat="false" ht="15" hidden="false" customHeight="false" outlineLevel="0" collapsed="false">
      <c r="A2" s="2" t="s">
        <v>26</v>
      </c>
    </row>
    <row r="4" customFormat="false" ht="15" hidden="false" customHeight="false" outlineLevel="0" collapsed="false">
      <c r="A4" s="7" t="s">
        <v>27</v>
      </c>
      <c r="B4" s="7" t="s">
        <v>28</v>
      </c>
      <c r="C4" s="7" t="s">
        <v>29</v>
      </c>
      <c r="D4" s="7" t="s">
        <v>30</v>
      </c>
    </row>
    <row r="5" customFormat="false" ht="15" hidden="false" customHeight="false" outlineLevel="0" collapsed="false">
      <c r="A5" s="4" t="s">
        <v>31</v>
      </c>
      <c r="B5" s="11" t="n">
        <v>6994</v>
      </c>
      <c r="C5" s="12" t="n">
        <v>120</v>
      </c>
      <c r="D5" s="13" t="n">
        <v>4.25</v>
      </c>
    </row>
    <row r="6" customFormat="false" ht="15" hidden="false" customHeight="false" outlineLevel="0" collapsed="false">
      <c r="A6" s="4" t="s">
        <v>32</v>
      </c>
      <c r="B6" s="11" t="n">
        <v>6567</v>
      </c>
      <c r="C6" s="12" t="n">
        <v>120</v>
      </c>
      <c r="D6" s="13" t="n">
        <v>4.09</v>
      </c>
    </row>
    <row r="7" customFormat="false" ht="15" hidden="false" customHeight="false" outlineLevel="0" collapsed="false">
      <c r="A7" s="4" t="s">
        <v>33</v>
      </c>
      <c r="B7" s="11" t="n">
        <v>11864</v>
      </c>
      <c r="C7" s="12" t="n">
        <v>120</v>
      </c>
      <c r="D7" s="13" t="n">
        <v>4.19</v>
      </c>
    </row>
    <row r="8" customFormat="false" ht="15" hidden="false" customHeight="false" outlineLevel="0" collapsed="false">
      <c r="A8" s="4" t="s">
        <v>34</v>
      </c>
      <c r="B8" s="11" t="n">
        <v>10042</v>
      </c>
      <c r="C8" s="12" t="n">
        <v>120</v>
      </c>
      <c r="D8" s="13" t="n">
        <v>4.22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5"/>
    <col collapsed="false" customWidth="true" hidden="false" outlineLevel="0" max="3" min="3" style="0" width="10"/>
  </cols>
  <sheetData>
    <row r="1" customFormat="false" ht="15" hidden="false" customHeight="false" outlineLevel="0" collapsed="false">
      <c r="A1" s="10" t="s">
        <v>35</v>
      </c>
    </row>
    <row r="2" customFormat="false" ht="15" hidden="false" customHeight="false" outlineLevel="0" collapsed="false">
      <c r="A2" s="2" t="s">
        <v>36</v>
      </c>
    </row>
    <row r="4" customFormat="false" ht="15" hidden="false" customHeight="false" outlineLevel="0" collapsed="false">
      <c r="A4" s="7" t="s">
        <v>37</v>
      </c>
      <c r="B4" s="7" t="s">
        <v>28</v>
      </c>
      <c r="C4" s="7" t="s">
        <v>29</v>
      </c>
    </row>
    <row r="5" customFormat="false" ht="15" hidden="false" customHeight="false" outlineLevel="0" collapsed="false">
      <c r="A5" s="4" t="s">
        <v>38</v>
      </c>
      <c r="B5" s="11" t="n">
        <v>12557</v>
      </c>
      <c r="C5" s="12" t="n">
        <v>160</v>
      </c>
    </row>
    <row r="6" customFormat="false" ht="15" hidden="false" customHeight="false" outlineLevel="0" collapsed="false">
      <c r="A6" s="4" t="s">
        <v>39</v>
      </c>
      <c r="B6" s="11" t="n">
        <v>11838</v>
      </c>
      <c r="C6" s="12" t="n">
        <v>160</v>
      </c>
    </row>
    <row r="7" customFormat="false" ht="15" hidden="false" customHeight="false" outlineLevel="0" collapsed="false">
      <c r="A7" s="4" t="s">
        <v>40</v>
      </c>
      <c r="B7" s="11" t="n">
        <v>11072</v>
      </c>
      <c r="C7" s="12" t="n">
        <v>160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62"/>
    <col collapsed="false" customWidth="true" hidden="false" outlineLevel="0" max="9" min="3" style="0" width="3"/>
    <col collapsed="false" customWidth="true" hidden="false" outlineLevel="0" max="10" min="10" style="0" width="18"/>
    <col collapsed="false" customWidth="true" hidden="false" outlineLevel="0" max="11" min="11" style="0" width="14"/>
    <col collapsed="false" customWidth="true" hidden="false" outlineLevel="0" max="12" min="12" style="0" width="12"/>
  </cols>
  <sheetData>
    <row r="1" customFormat="false" ht="15" hidden="false" customHeight="false" outlineLevel="0" collapsed="false">
      <c r="A1" s="10" t="s">
        <v>41</v>
      </c>
    </row>
    <row r="2" customFormat="false" ht="15" hidden="false" customHeight="false" outlineLevel="0" collapsed="false">
      <c r="A2" s="2" t="s">
        <v>42</v>
      </c>
    </row>
    <row r="3" customFormat="false" ht="15" hidden="false" customHeight="false" outlineLevel="0" collapsed="false">
      <c r="J3" s="2" t="s">
        <v>43</v>
      </c>
    </row>
    <row r="4" customFormat="false" ht="15" hidden="false" customHeight="false" outlineLevel="0" collapsed="false">
      <c r="A4" s="5" t="s">
        <v>44</v>
      </c>
      <c r="B4" s="6"/>
      <c r="C4" s="6"/>
      <c r="D4" s="6"/>
      <c r="E4" s="6"/>
      <c r="F4" s="6"/>
      <c r="G4" s="6"/>
      <c r="H4" s="6"/>
      <c r="J4" s="7" t="s">
        <v>27</v>
      </c>
      <c r="K4" s="7" t="s">
        <v>28</v>
      </c>
    </row>
    <row r="5" customFormat="false" ht="15" hidden="false" customHeight="false" outlineLevel="0" collapsed="false">
      <c r="J5" s="4" t="str">
        <f aca="false">INDEX('Category Performance'!$A$5:$A$8,MATCH(K5,'Category Performance'!$B$5:$B$8,0))</f>
        <v>Snacks</v>
      </c>
      <c r="K5" s="14" t="n">
        <f aca="false">SMALL('Category Performance'!$B$5:$B$8,1)</f>
        <v>6567</v>
      </c>
    </row>
    <row r="6" customFormat="false" ht="15" hidden="false" customHeight="false" outlineLevel="0" collapsed="false">
      <c r="J6" s="4" t="str">
        <f aca="false">INDEX('Category Performance'!$A$5:$A$8,MATCH(K6,'Category Performance'!$B$5:$B$8,0))</f>
        <v>Beverages</v>
      </c>
      <c r="K6" s="14" t="n">
        <f aca="false">SMALL('Category Performance'!$B$5:$B$8,2)</f>
        <v>6994</v>
      </c>
    </row>
    <row r="7" customFormat="false" ht="15" hidden="false" customHeight="false" outlineLevel="0" collapsed="false">
      <c r="J7" s="4" t="str">
        <f aca="false">INDEX('Category Performance'!$A$5:$A$8,MATCH(K7,'Category Performance'!$B$5:$B$8,0))</f>
        <v>Desserts</v>
      </c>
      <c r="K7" s="14" t="n">
        <f aca="false">SMALL('Category Performance'!$B$5:$B$8,3)</f>
        <v>10042</v>
      </c>
    </row>
    <row r="8" customFormat="false" ht="15" hidden="false" customHeight="false" outlineLevel="0" collapsed="false">
      <c r="J8" s="4" t="str">
        <f aca="false">INDEX('Category Performance'!$A$5:$A$8,MATCH(K8,'Category Performance'!$B$5:$B$8,0))</f>
        <v>Meals</v>
      </c>
      <c r="K8" s="14" t="n">
        <f aca="false">SMALL('Category Performance'!$B$5:$B$8,4)</f>
        <v>11864</v>
      </c>
    </row>
    <row r="10" customFormat="false" ht="15" hidden="false" customHeight="false" outlineLevel="0" collapsed="false">
      <c r="J10" s="7" t="s">
        <v>37</v>
      </c>
      <c r="K10" s="7" t="s">
        <v>28</v>
      </c>
      <c r="L10" s="7" t="s">
        <v>45</v>
      </c>
    </row>
    <row r="11" customFormat="false" ht="15" hidden="false" customHeight="false" outlineLevel="0" collapsed="false">
      <c r="J11" s="4" t="str">
        <f aca="false">INDEX('Channel Composition'!$A$5:$A$7,MATCH(K11,'Channel Composition'!$B$5:$B$7,0))</f>
        <v>In Store</v>
      </c>
      <c r="K11" s="14" t="n">
        <f aca="false">SMALL('Channel Composition'!$B$5:$B$7,1)</f>
        <v>11072</v>
      </c>
      <c r="L11" s="15" t="n">
        <f aca="false">K11/SUM('Channel Composition'!$B$5:$B$7)</f>
        <v>0.312177517128598</v>
      </c>
    </row>
    <row r="12" customFormat="false" ht="15" hidden="false" customHeight="false" outlineLevel="0" collapsed="false">
      <c r="J12" s="4" t="str">
        <f aca="false">INDEX('Channel Composition'!$A$5:$A$7,MATCH(K12,'Channel Composition'!$B$5:$B$7,0))</f>
        <v>Delivery</v>
      </c>
      <c r="K12" s="14" t="n">
        <f aca="false">SMALL('Channel Composition'!$B$5:$B$7,2)</f>
        <v>11838</v>
      </c>
      <c r="L12" s="15" t="n">
        <f aca="false">K12/SUM('Channel Composition'!$B$5:$B$7)</f>
        <v>0.333775058505089</v>
      </c>
    </row>
    <row r="13" customFormat="false" ht="15" hidden="false" customHeight="false" outlineLevel="0" collapsed="false">
      <c r="J13" s="4" t="str">
        <f aca="false">INDEX('Channel Composition'!$A$5:$A$7,MATCH(K13,'Channel Composition'!$B$5:$B$7,0))</f>
        <v>Click and Collect</v>
      </c>
      <c r="K13" s="14" t="n">
        <f aca="false">SMALL('Channel Composition'!$B$5:$B$7,3)</f>
        <v>12557</v>
      </c>
      <c r="L13" s="15" t="n">
        <f aca="false">K13/SUM('Channel Composition'!$B$5:$B$7)</f>
        <v>0.354047424366312</v>
      </c>
    </row>
    <row r="14" customFormat="false" ht="15" hidden="false" customHeight="false" outlineLevel="0" collapsed="false">
      <c r="J14" s="16" t="s">
        <v>46</v>
      </c>
      <c r="K14" s="17" t="n">
        <f aca="false">SUM('Channel Composition'!$B$5:$B$7)</f>
        <v>35467</v>
      </c>
    </row>
    <row r="15" customFormat="false" ht="15" hidden="false" customHeight="false" outlineLevel="0" collapsed="false">
      <c r="J15" s="18" t="s">
        <v>47</v>
      </c>
      <c r="K15" s="19" t="n">
        <f aca="false">SUM('Category Performance'!$B$5:$B$8)</f>
        <v>35467</v>
      </c>
    </row>
    <row r="16" customFormat="false" ht="15" hidden="false" customHeight="false" outlineLevel="0" collapsed="false">
      <c r="J16" s="18" t="s">
        <v>48</v>
      </c>
      <c r="K16" s="18" t="n">
        <f aca="false">SUM('Category Performance'!$C$5:$C$8)</f>
        <v>480</v>
      </c>
    </row>
    <row r="17" customFormat="false" ht="15" hidden="false" customHeight="false" outlineLevel="0" collapsed="false">
      <c r="J17" s="18" t="s">
        <v>49</v>
      </c>
      <c r="K17" s="18" t="n">
        <f aca="false">SUM('Channel Composition'!$C$5:$C$7)</f>
        <v>480</v>
      </c>
    </row>
    <row r="21" customFormat="false" ht="15" hidden="false" customHeight="false" outlineLevel="0" collapsed="false">
      <c r="A21" s="7" t="s">
        <v>50</v>
      </c>
      <c r="B21" s="7" t="s">
        <v>51</v>
      </c>
    </row>
    <row r="22" customFormat="false" ht="69.75" hidden="false" customHeight="true" outlineLevel="0" collapsed="false">
      <c r="A22" s="20" t="s">
        <v>52</v>
      </c>
      <c r="B22" s="21" t="s">
        <v>53</v>
      </c>
    </row>
    <row r="23" customFormat="false" ht="55.5" hidden="false" customHeight="true" outlineLevel="0" collapsed="false">
      <c r="A23" s="20" t="s">
        <v>54</v>
      </c>
      <c r="B23" s="21" t="s">
        <v>55</v>
      </c>
    </row>
    <row r="24" customFormat="false" ht="55.5" hidden="false" customHeight="true" outlineLevel="0" collapsed="false">
      <c r="A24" s="20" t="s">
        <v>56</v>
      </c>
      <c r="B24" s="21" t="s">
        <v>57</v>
      </c>
    </row>
    <row r="25" customFormat="false" ht="69.75" hidden="false" customHeight="true" outlineLevel="0" collapsed="false">
      <c r="A25" s="20" t="s">
        <v>58</v>
      </c>
      <c r="B25" s="21" t="s">
        <v>59</v>
      </c>
    </row>
    <row r="27" customFormat="false" ht="15" hidden="false" customHeight="false" outlineLevel="0" collapsed="false">
      <c r="A27" s="5" t="s">
        <v>60</v>
      </c>
      <c r="B27" s="6"/>
      <c r="C27" s="6"/>
      <c r="D27" s="6"/>
      <c r="E27" s="6"/>
      <c r="F27" s="6"/>
      <c r="G27" s="6"/>
      <c r="H27" s="6"/>
    </row>
    <row r="44" customFormat="false" ht="15" hidden="false" customHeight="false" outlineLevel="0" collapsed="false">
      <c r="A44" s="7" t="s">
        <v>50</v>
      </c>
      <c r="B44" s="7" t="s">
        <v>51</v>
      </c>
    </row>
    <row r="45" customFormat="false" ht="97.5" hidden="false" customHeight="true" outlineLevel="0" collapsed="false">
      <c r="A45" s="20" t="s">
        <v>52</v>
      </c>
      <c r="B45" s="21" t="s">
        <v>61</v>
      </c>
    </row>
    <row r="46" customFormat="false" ht="55.5" hidden="false" customHeight="true" outlineLevel="0" collapsed="false">
      <c r="A46" s="20" t="s">
        <v>54</v>
      </c>
      <c r="B46" s="21" t="s">
        <v>62</v>
      </c>
    </row>
    <row r="47" customFormat="false" ht="55.5" hidden="false" customHeight="true" outlineLevel="0" collapsed="false">
      <c r="A47" s="20" t="s">
        <v>56</v>
      </c>
      <c r="B47" s="21" t="s">
        <v>63</v>
      </c>
    </row>
    <row r="48" customFormat="false" ht="55.5" hidden="false" customHeight="true" outlineLevel="0" collapsed="false">
      <c r="A48" s="20" t="s">
        <v>58</v>
      </c>
      <c r="B48" s="21" t="s">
        <v>64</v>
      </c>
    </row>
    <row r="50" customFormat="false" ht="15" hidden="false" customHeight="false" outlineLevel="0" collapsed="false">
      <c r="A50" s="5" t="s">
        <v>65</v>
      </c>
      <c r="B50" s="6"/>
      <c r="C50" s="6"/>
      <c r="D50" s="6"/>
      <c r="E50" s="6"/>
      <c r="F50" s="6"/>
      <c r="G50" s="6"/>
      <c r="H50" s="6"/>
    </row>
    <row r="51" customFormat="false" ht="15" hidden="false" customHeight="false" outlineLevel="0" collapsed="false">
      <c r="A51" s="22" t="s">
        <v>66</v>
      </c>
    </row>
    <row r="68" customFormat="false" ht="15" hidden="false" customHeight="false" outlineLevel="0" collapsed="false">
      <c r="A68" s="10" t="s">
        <v>67</v>
      </c>
    </row>
    <row r="69" customFormat="false" ht="43.5" hidden="false" customHeight="true" outlineLevel="0" collapsed="false">
      <c r="A69" s="23" t="s">
        <v>68</v>
      </c>
      <c r="B69" s="23"/>
      <c r="C69" s="23"/>
      <c r="D69" s="23"/>
      <c r="E69" s="23"/>
      <c r="F69" s="23"/>
      <c r="G69" s="23"/>
      <c r="H69" s="23"/>
    </row>
    <row r="70" customFormat="false" ht="43.5" hidden="false" customHeight="true" outlineLevel="0" collapsed="false">
      <c r="A70" s="23" t="s">
        <v>69</v>
      </c>
      <c r="B70" s="23"/>
      <c r="C70" s="23"/>
      <c r="D70" s="23"/>
      <c r="E70" s="23"/>
      <c r="F70" s="23"/>
      <c r="G70" s="23"/>
      <c r="H70" s="23"/>
    </row>
    <row r="72" customFormat="false" ht="15" hidden="false" customHeight="false" outlineLevel="0" collapsed="false">
      <c r="A72" s="10" t="s">
        <v>70</v>
      </c>
    </row>
    <row r="73" customFormat="false" ht="43.5" hidden="false" customHeight="true" outlineLevel="0" collapsed="false">
      <c r="A73" s="23" t="s">
        <v>71</v>
      </c>
      <c r="B73" s="23"/>
      <c r="C73" s="23"/>
      <c r="D73" s="23"/>
      <c r="E73" s="23"/>
      <c r="F73" s="23"/>
      <c r="G73" s="23"/>
      <c r="H73" s="23"/>
    </row>
    <row r="75" customFormat="false" ht="15" hidden="false" customHeight="false" outlineLevel="0" collapsed="false">
      <c r="A75" s="24" t="s">
        <v>72</v>
      </c>
    </row>
  </sheetData>
  <mergeCells count="3">
    <mergeCell ref="A69:H69"/>
    <mergeCell ref="A70:H70"/>
    <mergeCell ref="A73:H7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6.15" hidden="false" customHeight="false" outlineLevel="0" collapsed="false">
      <c r="A1" s="25" t="s">
        <v>73</v>
      </c>
    </row>
    <row r="2" customFormat="false" ht="15" hidden="false" customHeight="false" outlineLevel="0" collapsed="false">
      <c r="A2" s="2" t="s">
        <v>74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2026-10-06T13:41:41Z</dcterms:created>
  <dc:creator>openpyxl</dc:creator>
  <dc:description/>
  <dc:language>en-US</dc:language>
  <cp:lastModifiedBy/>
  <dcterms:modified xsi:type="dcterms:W3CDTF">2026-10-06T13:41:43Z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