
<file path=[Content_Types].xml><?xml version="1.0" encoding="utf-8"?>
<Types xmlns="http://schemas.openxmlformats.org/package/2006/content-types">
  <Default Extension="xml" ContentType="application/xml"/>
  <Default Extension="rels" ContentType="application/vnd.openxmlformats-package.relationships+xml"/>
  <Default Extension="png" ContentType="image/png"/>
  <Default Extension="jpeg" ContentType="image/jpeg"/>
  <Override PartName="/xl/_rels/workbook.xml.rels" ContentType="application/vnd.openxmlformats-package.relationships+xml"/>
  <Override PartName="/xl/workbook.xml" ContentType="application/vnd.openxmlformats-officedocument.spreadsheetml.sheet.main+xml"/>
  <Override PartName="/xl/theme/theme1.xml" ContentType="application/vnd.openxmlformats-officedocument.theme+xml"/>
  <Override PartName="/xl/styles.xml" ContentType="application/vnd.openxmlformats-officedocument.spreadsheetml.styl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_rels/sheet7.xml.rels" ContentType="application/vnd.openxmlformats-package.relationships+xml"/>
  <Override PartName="/xl/worksheets/_rels/sheet6.xml.rels" ContentType="application/vnd.openxmlformats-package.relationships+xml"/>
  <Override PartName="/xl/worksheets/_rels/sheet5.xml.rels" ContentType="application/vnd.openxmlformats-package.relationships+xml"/>
  <Override PartName="/xl/worksheets/sheet8.xml" ContentType="application/vnd.openxmlformats-officedocument.spreadsheetml.worksheet+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_rels/drawing3.xml.rels" ContentType="application/vnd.openxmlformats-package.relationships+xml"/>
  <Override PartName="/xl/drawings/_rels/drawing2.xml.rels" ContentType="application/vnd.openxmlformats-package.relationships+xml"/>
  <Override PartName="/xl/drawings/_rels/drawing1.xml.rels" ContentType="application/vnd.openxmlformats-package.relationships+xml"/>
  <Override PartName="/xl/drawings/drawing3.xml" ContentType="application/vnd.openxmlformats-officedocument.drawing+xml"/>
  <Override PartName="/xl/charts/chart1.xml" ContentType="application/vnd.openxmlformats-officedocument.drawingml.chart+xml"/>
  <Override PartName="/xl/charts/chart2.xml" ContentType="application/vnd.openxmlformats-officedocument.drawingml.chart+xml"/>
  <Override PartName="/xl/charts/chart3.xml" ContentType="application/vnd.openxmlformats-officedocument.drawingml.chart+xml"/>
  <Override PartName="/xl/charts/chart4.xml" ContentType="application/vnd.openxmlformats-officedocument.drawingml.chart+xml"/>
  <Override PartName="/_rels/.rels" ContentType="application/vnd.openxmlformats-package.relationship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fileVersion appName="Calc"/>
  <workbookPr backupFile="false" showObjects="all" date1904="false"/>
  <workbookProtection/>
  <bookViews>
    <workbookView showHorizontalScroll="true" showVerticalScroll="true" showSheetTabs="true" xWindow="0" yWindow="0" windowWidth="16384" windowHeight="8192" tabRatio="500" firstSheet="0" activeTab="0"/>
  </bookViews>
  <sheets>
    <sheet name="Cover" sheetId="1" state="visible" r:id="rId3"/>
    <sheet name="Source_Data" sheetId="2" state="visible" r:id="rId4"/>
    <sheet name="Category Summary" sheetId="3" state="visible" r:id="rId5"/>
    <sheet name="Channel Summary" sheetId="4" state="visible" r:id="rId6"/>
    <sheet name="Chart_Comparison" sheetId="5" state="visible" r:id="rId7"/>
    <sheet name="Chart_Composition" sheetId="6" state="visible" r:id="rId8"/>
    <sheet name="Misleading_Chart" sheetId="7" state="visible" r:id="rId9"/>
    <sheet name="Design_Decisions" sheetId="8" state="visible" r:id="rId10"/>
  </sheets>
  <calcPr iterateCount="100" refMode="A1" iterate="false" iterateDelta="0.0001"/>
  <extLst>
    <ext xmlns:loext="http://schemas.libreoffice.org/" uri="{7626C862-2A13-11E5-B345-FEFF819CDC9F}">
      <loext:extCalcPr stringRefSyntax="ExcelA1"/>
    </ext>
  </extLst>
</workbook>
</file>

<file path=xl/sharedStrings.xml><?xml version="1.0" encoding="utf-8"?>
<sst xmlns="http://schemas.openxmlformats.org/spreadsheetml/2006/main" count="400" uniqueCount="123">
  <si>
    <t xml:space="preserve">Lab 2 – Chart Choice and Visual Design</t>
  </si>
  <si>
    <t xml:space="preserve">Student ID</t>
  </si>
  <si>
    <t xml:space="preserve">ENTER_STUDENT_ID</t>
  </si>
  <si>
    <t xml:space="preserve">Student name</t>
  </si>
  <si>
    <t xml:space="preserve">ENTER_NAME</t>
  </si>
  <si>
    <t xml:space="preserve">Software</t>
  </si>
  <si>
    <t xml:space="preserve">Microsoft Excel</t>
  </si>
  <si>
    <t xml:space="preserve">Guiding question</t>
  </si>
  <si>
    <t xml:space="preserve">Which chart form and visual choices make category and channel comparisons easiest to understand?</t>
  </si>
  <si>
    <t xml:space="preserve">Sheet guide</t>
  </si>
  <si>
    <t xml:space="preserve">Source_Data</t>
  </si>
  <si>
    <t xml:space="preserve">Raw transactions – left unchanged (sample data: replace with the rows from the course file if they differ).</t>
  </si>
  <si>
    <t xml:space="preserve">Category Summary</t>
  </si>
  <si>
    <t xml:space="preserve">Revenue by category (SUMIFS on Source_Data) + sorted table that feeds the bar chart.</t>
  </si>
  <si>
    <t xml:space="preserve">Channel Summary</t>
  </si>
  <si>
    <t xml:space="preserve">Revenue and share by channel (SUMIFS) + sorted table that feeds the doughnut.</t>
  </si>
  <si>
    <t xml:space="preserve">Chart_Comparison</t>
  </si>
  <si>
    <t xml:space="preserve">Corrected chart 1 – sorted horizontal bar of category revenue.</t>
  </si>
  <si>
    <t xml:space="preserve">Chart_Composition</t>
  </si>
  <si>
    <t xml:space="preserve">Corrected chart 2 – sorted doughnut of revenue share by channel.</t>
  </si>
  <si>
    <t xml:space="preserve">Misleading_Chart</t>
  </si>
  <si>
    <t xml:space="preserve">Duplicate with a truncated axis + explanation and the repaired version.</t>
  </si>
  <si>
    <t xml:space="preserve">Design_Decisions</t>
  </si>
  <si>
    <t xml:space="preserve">Completed design-decision table and chart-choice sentences.</t>
  </si>
  <si>
    <t xml:space="preserve">Legend: yellow cells = fill in your details. Blue text = hard-coded inputs; black = formulas; green = links to another sheet.</t>
  </si>
  <si>
    <t xml:space="preserve">Order ID</t>
  </si>
  <si>
    <t xml:space="preserve">Month</t>
  </si>
  <si>
    <t xml:space="preserve">Category</t>
  </si>
  <si>
    <t xml:space="preserve">Channel</t>
  </si>
  <si>
    <t xml:space="preserve">Revenue ($)</t>
  </si>
  <si>
    <t xml:space="preserve">Jan</t>
  </si>
  <si>
    <t xml:space="preserve">Electronics</t>
  </si>
  <si>
    <t xml:space="preserve">Online</t>
  </si>
  <si>
    <t xml:space="preserve">Retail Store</t>
  </si>
  <si>
    <t xml:space="preserve">Wholesale</t>
  </si>
  <si>
    <t xml:space="preserve">Furniture</t>
  </si>
  <si>
    <t xml:space="preserve">Office Supplies</t>
  </si>
  <si>
    <t xml:space="preserve">Clothing</t>
  </si>
  <si>
    <t xml:space="preserve">Accessories</t>
  </si>
  <si>
    <t xml:space="preserve">Feb</t>
  </si>
  <si>
    <t xml:space="preserve">Mar</t>
  </si>
  <si>
    <t xml:space="preserve">Apr</t>
  </si>
  <si>
    <t xml:space="preserve">May</t>
  </si>
  <si>
    <t xml:space="preserve">Jun</t>
  </si>
  <si>
    <t xml:space="preserve">Note: sample transactions created for this lab. If your course file contains different values, paste them here – every summary and chart updates automatically.</t>
  </si>
  <si>
    <t xml:space="preserve">Sorted for chart (smallest → largest, so the largest bar sits at the top of a horizontal bar chart)</t>
  </si>
  <si>
    <t xml:space="preserve">Share of total</t>
  </si>
  <si>
    <t xml:space="preserve">Rank</t>
  </si>
  <si>
    <t xml:space="preserve">Total</t>
  </si>
  <si>
    <t xml:space="preserve">Sorted for chart (largest → smallest; slices start at 12 o'clock and run clockwise)</t>
  </si>
  <si>
    <t xml:space="preserve">Share</t>
  </si>
  <si>
    <t xml:space="preserve">Chart 1 – Comparison: revenue by category (corrected / final)</t>
  </si>
  <si>
    <t xml:space="preserve">Horizontal bar · sorted by revenue · axis starts at 0 · single hue with the top category highlighted · direct labels · no legend</t>
  </si>
  <si>
    <t xml:space="preserve">Chart 2 – Composition: share of revenue by channel (corrected / final)</t>
  </si>
  <si>
    <t xml:space="preserve">Doughnut · all three channels · slices sorted largest → smallest · % labels on slices · flat colours, no gradient / 3D / exploded slices</t>
  </si>
  <si>
    <t xml:space="preserve">Diagnose a misleading chart</t>
  </si>
  <si>
    <t xml:space="preserve">A) MISLEADING version – duplicate of Chart 1 with the value axis truncated to start at 25,000 (NOT for submission as final)</t>
  </si>
  <si>
    <t xml:space="preserve">Why it distorts perception (2 sentences)</t>
  </si>
  <si>
    <t xml:space="preserve">Because the value axis starts at 25,000 instead of 0, bar length no longer stays proportional to revenue, so Electronics looks many times larger than Accessories even though the real gap is far smaller.</t>
  </si>
  <si>
    <t xml:space="preserve">Viewers judge bars by length rather than by reading the axis numbers, so the truncation exaggerates the differences between categories and makes the smaller categories seem almost negligible.</t>
  </si>
  <si>
    <t xml:space="preserve">How it was repaired</t>
  </si>
  <si>
    <t xml:space="preserve">Repair: the value axis minimum was reset to 0, the misleading title was replaced with a factual one, and the highlight colour was restored to the category named in the title. The corrected chart is below and in Chart_Comparison.</t>
  </si>
  <si>
    <t xml:space="preserve">B) CORRECTED version – axis starts at zero (retained for submission)</t>
  </si>
  <si>
    <t xml:space="preserve">Design-decision table</t>
  </si>
  <si>
    <t xml:space="preserve">Decision</t>
  </si>
  <si>
    <t xml:space="preserve">Chart 1 – Category revenue</t>
  </si>
  <si>
    <t xml:space="preserve">Chart 2 – Channel revenue</t>
  </si>
  <si>
    <t xml:space="preserve">Reason / principle</t>
  </si>
  <si>
    <t xml:space="preserve">Analytical question</t>
  </si>
  <si>
    <t xml:space="preserve">Which category earns the most revenue, and how do categories rank?</t>
  </si>
  <si>
    <t xml:space="preserve">How is total revenue split across the three channels?</t>
  </si>
  <si>
    <t xml:space="preserve">Chart form follows the question, not personal preference.</t>
  </si>
  <si>
    <t xml:space="preserve">Question type</t>
  </si>
  <si>
    <t xml:space="preserve">Comparison (ranking)</t>
  </si>
  <si>
    <t xml:space="preserve">Part-to-whole (composition)</t>
  </si>
  <si>
    <t xml:space="preserve">Comparison → bar; part-to-whole with few parts → doughnut or bar.</t>
  </si>
  <si>
    <t xml:space="preserve">Chart form</t>
  </si>
  <si>
    <t xml:space="preserve">Horizontal bar chart</t>
  </si>
  <si>
    <t xml:space="preserve">Doughnut chart (sorted bar is the fallback)</t>
  </si>
  <si>
    <t xml:space="preserve">Horizontal bars fit long category names; doughnut shows shares of one whole.</t>
  </si>
  <si>
    <t xml:space="preserve">Sorting</t>
  </si>
  <si>
    <t xml:space="preserve">Descending by revenue (largest at top)</t>
  </si>
  <si>
    <t xml:space="preserve">Slices largest → smallest, clockwise from 12 o'clock</t>
  </si>
  <si>
    <t xml:space="preserve">Sorted order lets the eye rank instantly.</t>
  </si>
  <si>
    <t xml:space="preserve">Axis / scale</t>
  </si>
  <si>
    <t xml:space="preserve">Value axis starts at 0</t>
  </si>
  <si>
    <t xml:space="preserve">Not applicable – percentages add to 100%</t>
  </si>
  <si>
    <t xml:space="preserve">Bar length must be proportional to value (honest scale).</t>
  </si>
  <si>
    <t xml:space="preserve">Colour</t>
  </si>
  <si>
    <t xml:space="preserve">Single grey-blue hue; only the top category (Electronics) highlighted in dark blue</t>
  </si>
  <si>
    <t xml:space="preserve">Three shades of one blue, darkest for largest slice</t>
  </si>
  <si>
    <t xml:space="preserve">Preattentive colour draws attention to the one item named in the title.</t>
  </si>
  <si>
    <t xml:space="preserve">Labels</t>
  </si>
  <si>
    <t xml:space="preserve">Revenue values labelled directly at bar ends</t>
  </si>
  <si>
    <t xml:space="preserve">Category name + % share on each slice</t>
  </si>
  <si>
    <t xml:space="preserve">Direct labels remove the need for a legend (proximity).</t>
  </si>
  <si>
    <t xml:space="preserve">Legend</t>
  </si>
  <si>
    <t xml:space="preserve">Removed – it repeated the category labels</t>
  </si>
  <si>
    <t xml:space="preserve">Removed – slices are labelled directly</t>
  </si>
  <si>
    <t xml:space="preserve">Less clutter, less eye travel.</t>
  </si>
  <si>
    <t xml:space="preserve">Gestalt principles</t>
  </si>
  <si>
    <t xml:space="preserve">Similarity (same colour = same kind), proximity (labels next to bars)</t>
  </si>
  <si>
    <t xml:space="preserve">Enclosure (the ring forms one whole), proximity (labels on slices)</t>
  </si>
  <si>
    <t xml:space="preserve">Grouping makes the structure obvious.</t>
  </si>
  <si>
    <t xml:space="preserve">Decoration</t>
  </si>
  <si>
    <t xml:space="preserve">No gridlines, no 3D, no gradient</t>
  </si>
  <si>
    <t xml:space="preserve">No 3D, no gradient, no exploded slices; white slice borders for contrast</t>
  </si>
  <si>
    <t xml:space="preserve">Minimal decoration – data ink only.</t>
  </si>
  <si>
    <t xml:space="preserve">Title</t>
  </si>
  <si>
    <t xml:space="preserve">Electronics generates the highest revenue of all categories</t>
  </si>
  <si>
    <t xml:space="preserve">Online brings in about half of all revenue</t>
  </si>
  <si>
    <t xml:space="preserve">Titles state the takeaway, not just the topic.</t>
  </si>
  <si>
    <t xml:space="preserve">5-second test</t>
  </si>
  <si>
    <t xml:space="preserve">Largest category is the top, darkest bar</t>
  </si>
  <si>
    <t xml:space="preserve">Largest channel is the darkest, biggest slice</t>
  </si>
  <si>
    <t xml:space="preserve">Checkpoint passed.</t>
  </si>
  <si>
    <t xml:space="preserve">Chart-choice sentences</t>
  </si>
  <si>
    <t xml:space="preserve">Why a bar chart suits category comparison</t>
  </si>
  <si>
    <t xml:space="preserve">A bar chart suits category comparison because viewers compare bar lengths on a common zero baseline very accurately, and sorting the bars turns the chart into an instant ranking of the categories.</t>
  </si>
  <si>
    <t xml:space="preserve">Does three-channel data justify a doughnut?</t>
  </si>
  <si>
    <t xml:space="preserve">Yes: there are only three channels, they form one whole (100% of revenue) and their shares are clearly different (≈53%, 30%, 17%), so a sorted, directly labelled doughnut is readable. If the shares were close to each other, a sorted bar chart would be used instead, because angles and areas are harder to compare than lengths.</t>
  </si>
  <si>
    <t xml:space="preserve">Checkpoint</t>
  </si>
  <si>
    <t xml:space="preserve">Each chart choice follows the analytical question (comparison → bar; part-to-whole → doughnut) rather than personal preference.</t>
  </si>
</sst>
</file>

<file path=xl/styles.xml><?xml version="1.0" encoding="utf-8"?>
<styleSheet xmlns="http://schemas.openxmlformats.org/spreadsheetml/2006/main">
  <numFmts count="3">
    <numFmt numFmtId="164" formatCode="General"/>
    <numFmt numFmtId="165" formatCode="#,##0"/>
    <numFmt numFmtId="166" formatCode="0.0%"/>
  </numFmts>
  <fonts count="16">
    <font>
      <sz val="11"/>
      <color theme="1"/>
      <name val="Calibri"/>
      <family val="2"/>
      <charset val="1"/>
    </font>
    <font>
      <sz val="10"/>
      <name val="Arial"/>
      <family val="0"/>
    </font>
    <font>
      <sz val="10"/>
      <name val="Arial"/>
      <family val="0"/>
    </font>
    <font>
      <sz val="10"/>
      <name val="Arial"/>
      <family val="0"/>
    </font>
    <font>
      <b val="true"/>
      <sz val="14"/>
      <color rgb="FF1F3864"/>
      <name val="Arial"/>
      <family val="0"/>
      <charset val="1"/>
    </font>
    <font>
      <b val="true"/>
      <sz val="10"/>
      <name val="Arial"/>
      <family val="0"/>
      <charset val="1"/>
    </font>
    <font>
      <sz val="10"/>
      <color rgb="FF0000FF"/>
      <name val="Arial"/>
      <family val="0"/>
      <charset val="1"/>
    </font>
    <font>
      <sz val="10"/>
      <name val="Arial"/>
      <family val="0"/>
      <charset val="1"/>
    </font>
    <font>
      <i val="true"/>
      <sz val="9"/>
      <name val="Arial"/>
      <family val="0"/>
      <charset val="1"/>
    </font>
    <font>
      <b val="true"/>
      <sz val="11"/>
      <color rgb="FFFFFFFF"/>
      <name val="Arial"/>
      <family val="0"/>
      <charset val="1"/>
    </font>
    <font>
      <b val="true"/>
      <sz val="18"/>
      <color rgb="FF000000"/>
      <name val="Calibri"/>
      <family val="2"/>
    </font>
    <font>
      <sz val="10"/>
      <color rgb="FF000000"/>
      <name val="Calibri"/>
      <family val="2"/>
    </font>
    <font>
      <b val="true"/>
      <sz val="10"/>
      <color rgb="FF000000"/>
      <name val="Calibri"/>
      <family val="2"/>
    </font>
    <font>
      <b val="true"/>
      <sz val="10"/>
      <color rgb="FFC00000"/>
      <name val="Arial"/>
      <family val="0"/>
      <charset val="1"/>
    </font>
    <font>
      <b val="true"/>
      <sz val="10"/>
      <color rgb="FF008000"/>
      <name val="Arial"/>
      <family val="0"/>
      <charset val="1"/>
    </font>
    <font>
      <b val="true"/>
      <sz val="12"/>
      <color rgb="FF1F3864"/>
      <name val="Arial"/>
      <family val="0"/>
      <charset val="1"/>
    </font>
  </fonts>
  <fills count="4">
    <fill>
      <patternFill patternType="none"/>
    </fill>
    <fill>
      <patternFill patternType="gray125"/>
    </fill>
    <fill>
      <patternFill patternType="solid">
        <fgColor rgb="FFFFFF00"/>
        <bgColor rgb="FFFFFF00"/>
      </patternFill>
    </fill>
    <fill>
      <patternFill patternType="solid">
        <fgColor rgb="FF1F3864"/>
        <bgColor rgb="FF1F4E79"/>
      </patternFill>
    </fill>
  </fills>
  <borders count="2">
    <border diagonalUp="false" diagonalDown="false">
      <left/>
      <right/>
      <top/>
      <bottom/>
      <diagonal/>
    </border>
    <border diagonalUp="false" diagonalDown="false">
      <left style="thin">
        <color rgb="FFBFBFBF"/>
      </left>
      <right style="thin">
        <color rgb="FFBFBFBF"/>
      </right>
      <top style="thin">
        <color rgb="FFBFBFBF"/>
      </top>
      <bottom style="thin">
        <color rgb="FFBFBFBF"/>
      </bottom>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21">
    <xf numFmtId="164" fontId="0" fillId="0" borderId="0" xfId="0" applyFont="false" applyBorder="false" applyAlignment="false" applyProtection="false">
      <alignment horizontal="general" vertical="bottom" textRotation="0" wrapText="false" indent="0" shrinkToFit="false"/>
      <protection locked="true" hidden="false"/>
    </xf>
    <xf numFmtId="164" fontId="4" fillId="0" borderId="0" xfId="0" applyFont="true" applyBorder="false" applyAlignment="false" applyProtection="false">
      <alignment horizontal="general" vertical="bottom" textRotation="0" wrapText="false" indent="0" shrinkToFit="false"/>
      <protection locked="true" hidden="false"/>
    </xf>
    <xf numFmtId="164" fontId="5" fillId="0" borderId="0" xfId="0" applyFont="true" applyBorder="false" applyAlignment="false" applyProtection="false">
      <alignment horizontal="general" vertical="bottom" textRotation="0" wrapText="false" indent="0" shrinkToFit="false"/>
      <protection locked="true" hidden="false"/>
    </xf>
    <xf numFmtId="164" fontId="6" fillId="2" borderId="0" xfId="0" applyFont="true" applyBorder="false" applyAlignment="true" applyProtection="false">
      <alignment horizontal="general" vertical="top" textRotation="0" wrapText="true" indent="0" shrinkToFit="false"/>
      <protection locked="true" hidden="false"/>
    </xf>
    <xf numFmtId="164" fontId="7" fillId="0" borderId="0" xfId="0" applyFont="true" applyBorder="false" applyAlignment="true" applyProtection="false">
      <alignment horizontal="general" vertical="top" textRotation="0" wrapText="true" indent="0" shrinkToFit="false"/>
      <protection locked="true" hidden="false"/>
    </xf>
    <xf numFmtId="164" fontId="8" fillId="0" borderId="0" xfId="0" applyFont="true" applyBorder="false" applyAlignment="false" applyProtection="false">
      <alignment horizontal="general" vertical="bottom" textRotation="0" wrapText="false" indent="0" shrinkToFit="false"/>
      <protection locked="true" hidden="false"/>
    </xf>
    <xf numFmtId="164" fontId="9" fillId="3" borderId="1" xfId="0" applyFont="true" applyBorder="true" applyAlignment="true" applyProtection="false">
      <alignment horizontal="center" vertical="center" textRotation="0" wrapText="true" indent="0" shrinkToFit="false"/>
      <protection locked="true" hidden="false"/>
    </xf>
    <xf numFmtId="164" fontId="7" fillId="0" borderId="1" xfId="0" applyFont="true" applyBorder="true" applyAlignment="false" applyProtection="false">
      <alignment horizontal="general" vertical="bottom" textRotation="0" wrapText="false" indent="0" shrinkToFit="false"/>
      <protection locked="true" hidden="false"/>
    </xf>
    <xf numFmtId="165" fontId="6" fillId="0" borderId="1" xfId="0" applyFont="true" applyBorder="true" applyAlignment="false" applyProtection="false">
      <alignment horizontal="general" vertical="bottom" textRotation="0" wrapText="false" indent="0" shrinkToFit="false"/>
      <protection locked="true" hidden="false"/>
    </xf>
    <xf numFmtId="165" fontId="7" fillId="0" borderId="1" xfId="0" applyFont="true" applyBorder="true" applyAlignment="false" applyProtection="false">
      <alignment horizontal="general" vertical="bottom" textRotation="0" wrapText="false" indent="0" shrinkToFit="false"/>
      <protection locked="true" hidden="false"/>
    </xf>
    <xf numFmtId="166" fontId="7" fillId="0" borderId="1" xfId="0" applyFont="true" applyBorder="true" applyAlignment="false" applyProtection="false">
      <alignment horizontal="general" vertical="bottom" textRotation="0" wrapText="false" indent="0" shrinkToFit="false"/>
      <protection locked="true" hidden="false"/>
    </xf>
    <xf numFmtId="164" fontId="5" fillId="0" borderId="1" xfId="0" applyFont="true" applyBorder="true" applyAlignment="false" applyProtection="false">
      <alignment horizontal="general" vertical="bottom" textRotation="0" wrapText="false" indent="0" shrinkToFit="false"/>
      <protection locked="true" hidden="false"/>
    </xf>
    <xf numFmtId="165" fontId="5" fillId="0" borderId="1" xfId="0" applyFont="true" applyBorder="true" applyAlignment="false" applyProtection="false">
      <alignment horizontal="general" vertical="bottom" textRotation="0" wrapText="false" indent="0" shrinkToFit="false"/>
      <protection locked="true" hidden="false"/>
    </xf>
    <xf numFmtId="166" fontId="5" fillId="0" borderId="1" xfId="0" applyFont="true" applyBorder="true" applyAlignment="false" applyProtection="false">
      <alignment horizontal="general" vertical="bottom" textRotation="0" wrapText="false" indent="0" shrinkToFit="false"/>
      <protection locked="true" hidden="false"/>
    </xf>
    <xf numFmtId="164" fontId="13" fillId="0" borderId="0" xfId="0" applyFont="true" applyBorder="false" applyAlignment="false" applyProtection="false">
      <alignment horizontal="general" vertical="bottom" textRotation="0" wrapText="false" indent="0" shrinkToFit="false"/>
      <protection locked="true" hidden="false"/>
    </xf>
    <xf numFmtId="164" fontId="7" fillId="0" borderId="0" xfId="0" applyFont="true" applyBorder="true" applyAlignment="true" applyProtection="false">
      <alignment horizontal="general" vertical="top" textRotation="0" wrapText="true" indent="0" shrinkToFit="false"/>
      <protection locked="true" hidden="false"/>
    </xf>
    <xf numFmtId="164" fontId="14" fillId="0" borderId="0" xfId="0" applyFont="true" applyBorder="false" applyAlignment="false" applyProtection="false">
      <alignment horizontal="general" vertical="bottom" textRotation="0" wrapText="false" indent="0" shrinkToFit="false"/>
      <protection locked="true" hidden="false"/>
    </xf>
    <xf numFmtId="164" fontId="5" fillId="0" borderId="1" xfId="0" applyFont="true" applyBorder="true" applyAlignment="true" applyProtection="false">
      <alignment horizontal="general" vertical="top" textRotation="0" wrapText="true" indent="0" shrinkToFit="false"/>
      <protection locked="true" hidden="false"/>
    </xf>
    <xf numFmtId="164" fontId="7" fillId="0" borderId="1" xfId="0" applyFont="true" applyBorder="true" applyAlignment="true" applyProtection="false">
      <alignment horizontal="general" vertical="top" textRotation="0" wrapText="true" indent="0" shrinkToFit="false"/>
      <protection locked="true" hidden="false"/>
    </xf>
    <xf numFmtId="164" fontId="15" fillId="0" borderId="0" xfId="0" applyFont="true" applyBorder="false" applyAlignment="false" applyProtection="false">
      <alignment horizontal="general" vertical="bottom" textRotation="0" wrapText="false" indent="0" shrinkToFit="false"/>
      <protection locked="true" hidden="false"/>
    </xf>
    <xf numFmtId="164" fontId="5" fillId="0" borderId="0" xfId="0" applyFont="true" applyBorder="false" applyAlignment="true" applyProtection="false">
      <alignment horizontal="general" vertical="top" textRotation="0" wrapText="tru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colors>
    <indexedColors>
      <rgbColor rgb="FF000000"/>
      <rgbColor rgb="FFFFFFFF"/>
      <rgbColor rgb="FFC00000"/>
      <rgbColor rgb="FF00FF00"/>
      <rgbColor rgb="FF0000FF"/>
      <rgbColor rgb="FFFFFF00"/>
      <rgbColor rgb="FFFF00FF"/>
      <rgbColor rgb="FF00FFFF"/>
      <rgbColor rgb="FF800000"/>
      <rgbColor rgb="FF008000"/>
      <rgbColor rgb="FF000080"/>
      <rgbColor rgb="FF808000"/>
      <rgbColor rgb="FF800080"/>
      <rgbColor rgb="FF008080"/>
      <rgbColor rgb="FFBFBFBF"/>
      <rgbColor rgb="FF878787"/>
      <rgbColor rgb="FF5B9BD5"/>
      <rgbColor rgb="FF993366"/>
      <rgbColor rgb="FFFFFFCC"/>
      <rgbColor rgb="FFCCFFFF"/>
      <rgbColor rgb="FF660066"/>
      <rgbColor rgb="FFFF8080"/>
      <rgbColor rgb="FF0066CC"/>
      <rgbColor rgb="FFBDD7EE"/>
      <rgbColor rgb="FF000080"/>
      <rgbColor rgb="FFFF00FF"/>
      <rgbColor rgb="FFFFFF00"/>
      <rgbColor rgb="FF00FFFF"/>
      <rgbColor rgb="FF800080"/>
      <rgbColor rgb="FF800000"/>
      <rgbColor rgb="FF008080"/>
      <rgbColor rgb="FF0000FF"/>
      <rgbColor rgb="FF00CCFF"/>
      <rgbColor rgb="FFCCFFFF"/>
      <rgbColor rgb="FFD9D9D9"/>
      <rgbColor rgb="FFFFFF99"/>
      <rgbColor rgb="FFA6B4C8"/>
      <rgbColor rgb="FFFF99CC"/>
      <rgbColor rgb="FFCC99FF"/>
      <rgbColor rgb="FFFFCC99"/>
      <rgbColor rgb="FF3366FF"/>
      <rgbColor rgb="FF33CCCC"/>
      <rgbColor rgb="FF99CC00"/>
      <rgbColor rgb="FFFFCC00"/>
      <rgbColor rgb="FFFF9900"/>
      <rgbColor rgb="FFFF6600"/>
      <rgbColor rgb="FF4F81BD"/>
      <rgbColor rgb="FF969696"/>
      <rgbColor rgb="FF1F3864"/>
      <rgbColor rgb="FF339966"/>
      <rgbColor rgb="FF003300"/>
      <rgbColor rgb="FF333300"/>
      <rgbColor rgb="FF993300"/>
      <rgbColor rgb="FF993366"/>
      <rgbColor rgb="FF1F4E79"/>
      <rgbColor rgb="FF333333"/>
    </indexedColors>
  </color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worksheet" Target="worksheets/sheet2.xml"/><Relationship Id="rId5" Type="http://schemas.openxmlformats.org/officeDocument/2006/relationships/worksheet" Target="worksheets/sheet3.xml"/><Relationship Id="rId6" Type="http://schemas.openxmlformats.org/officeDocument/2006/relationships/worksheet" Target="worksheets/sheet4.xml"/><Relationship Id="rId7" Type="http://schemas.openxmlformats.org/officeDocument/2006/relationships/worksheet" Target="worksheets/sheet5.xml"/><Relationship Id="rId8" Type="http://schemas.openxmlformats.org/officeDocument/2006/relationships/worksheet" Target="worksheets/sheet6.xml"/><Relationship Id="rId9" Type="http://schemas.openxmlformats.org/officeDocument/2006/relationships/worksheet" Target="worksheets/sheet7.xml"/><Relationship Id="rId10" Type="http://schemas.openxmlformats.org/officeDocument/2006/relationships/worksheet" Target="worksheets/sheet8.xml"/><Relationship Id="rId11" Type="http://schemas.openxmlformats.org/officeDocument/2006/relationships/sharedStrings" Target="sharedStrings.xml"/>
</Relationships>
</file>

<file path=xl/charts/chart1.xml><?xml version="1.0" encoding="utf-8"?>
<c:chartSpace xmlns:c="http://schemas.openxmlformats.org/drawingml/2006/chart" xmlns:a="http://schemas.openxmlformats.org/drawingml/2006/main" xmlns:r="http://schemas.openxmlformats.org/officeDocument/2006/relationships">
  <c:lang val="en-US"/>
  <c:roundedCorners val="0"/>
  <c:chart>
    <c:title>
      <c:tx>
        <c:rich>
          <a:bodyPr rot="0"/>
          <a:lstStyle/>
          <a:p>
            <a:pPr>
              <a:defRPr b="1" sz="1800" spc="-1" strike="noStrike">
                <a:solidFill>
                  <a:srgbClr val="000000"/>
                </a:solidFill>
                <a:latin typeface="Calibri"/>
              </a:defRPr>
            </a:pPr>
            <a:r>
              <a:rPr b="1" sz="1800" spc="-1" strike="noStrike">
                <a:solidFill>
                  <a:srgbClr val="000000"/>
                </a:solidFill>
                <a:latin typeface="Calibri"/>
              </a:rPr>
              <a:t>Electronics generates the highest revenue of all categories</a:t>
            </a:r>
          </a:p>
        </c:rich>
      </c:tx>
      <c:overlay val="0"/>
      <c:spPr>
        <a:noFill/>
        <a:ln w="0">
          <a:noFill/>
        </a:ln>
      </c:spPr>
    </c:title>
    <c:autoTitleDeleted val="0"/>
    <c:plotArea>
      <c:barChart>
        <c:barDir val="bar"/>
        <c:grouping val="clustered"/>
        <c:varyColors val="0"/>
        <c:ser>
          <c:idx val="0"/>
          <c:order val="0"/>
          <c:tx>
            <c:strRef>
              <c:f>'Category Summary'!G3</c:f>
              <c:strCache>
                <c:ptCount val="1"/>
                <c:pt idx="0">
                  <c:v>Revenue ($)</c:v>
                </c:pt>
              </c:strCache>
            </c:strRef>
          </c:tx>
          <c:spPr>
            <a:solidFill>
              <a:srgbClr val="a6b4c8"/>
            </a:solidFill>
            <a:ln w="9360">
              <a:solidFill>
                <a:srgbClr val="a6b4c8"/>
              </a:solidFill>
              <a:round/>
            </a:ln>
          </c:spPr>
          <c:invertIfNegative val="0"/>
          <c:dPt>
            <c:idx val="4"/>
            <c:invertIfNegative val="0"/>
            <c:spPr>
              <a:solidFill>
                <a:srgbClr val="1f4e79"/>
              </a:solidFill>
              <a:ln w="9360">
                <a:solidFill>
                  <a:srgbClr val="1f4e79"/>
                </a:solidFill>
                <a:round/>
              </a:ln>
            </c:spPr>
          </c:dPt>
          <c:dLbls>
            <c:numFmt formatCode="#,##0" sourceLinked="1"/>
            <c:dLbl>
              <c:idx val="4"/>
              <c:numFmt formatCode="#,##0" sourceLinked="1"/>
              <c:txPr>
                <a:bodyPr wrap="square"/>
                <a:lstStyle/>
                <a:p>
                  <a:pPr>
                    <a:defRPr b="0" sz="1000" spc="-1" strike="noStrike">
                      <a:solidFill>
                        <a:srgbClr val="000000"/>
                      </a:solidFill>
                      <a:latin typeface="Calibri"/>
                    </a:defRPr>
                  </a:pPr>
                </a:p>
              </c:txPr>
              <c:dLblPos val="outEnd"/>
              <c:showLegendKey val="0"/>
              <c:showVal val="1"/>
              <c:showCatName val="0"/>
              <c:showSerName val="0"/>
              <c:showPercent val="0"/>
              <c:separator>; </c:separator>
            </c:dLbl>
            <c:txPr>
              <a:bodyPr wrap="square"/>
              <a:lstStyle/>
              <a:p>
                <a:pPr>
                  <a:defRPr b="0" sz="1000" spc="-1" strike="noStrike">
                    <a:solidFill>
                      <a:srgbClr val="000000"/>
                    </a:solidFill>
                    <a:latin typeface="Calibri"/>
                  </a:defRPr>
                </a:pPr>
              </a:p>
            </c:txPr>
            <c:dLblPos val="outEnd"/>
            <c:showLegendKey val="0"/>
            <c:showVal val="1"/>
            <c:showCatName val="0"/>
            <c:showSerName val="0"/>
            <c:showPercent val="0"/>
            <c:separator>; </c:separator>
            <c:showLeaderLines val="1"/>
            <c:extLst>
              <c:ext xmlns:c15="http://schemas.microsoft.com/office/drawing/2012/chart" uri="{CE6537A1-D6FC-4f65-9D91-7224C49458BB}">
                <c15:showLeaderLines val="1"/>
              </c:ext>
            </c:extLst>
          </c:dLbls>
          <c:cat>
            <c:strRef>
              <c:f>'Category Summary'!$F$4:$F$8</c:f>
              <c:strCache>
                <c:ptCount val="5"/>
                <c:pt idx="0">
                  <c:v>Accessories</c:v>
                </c:pt>
                <c:pt idx="1">
                  <c:v>Clothing</c:v>
                </c:pt>
                <c:pt idx="2">
                  <c:v>Office Supplies</c:v>
                </c:pt>
                <c:pt idx="3">
                  <c:v>Furniture</c:v>
                </c:pt>
                <c:pt idx="4">
                  <c:v>Electronics</c:v>
                </c:pt>
              </c:strCache>
            </c:strRef>
          </c:cat>
          <c:val>
            <c:numRef>
              <c:f>'Category Summary'!$G$4:$G$8</c:f>
              <c:numCache>
                <c:formatCode>#,##0</c:formatCode>
                <c:ptCount val="5"/>
                <c:pt idx="0">
                  <c:v>27188</c:v>
                </c:pt>
                <c:pt idx="1">
                  <c:v>40734</c:v>
                </c:pt>
                <c:pt idx="2">
                  <c:v>51166</c:v>
                </c:pt>
                <c:pt idx="3">
                  <c:v>68215</c:v>
                </c:pt>
                <c:pt idx="4">
                  <c:v>89467</c:v>
                </c:pt>
              </c:numCache>
            </c:numRef>
          </c:val>
        </c:ser>
        <c:gapWidth val="60"/>
        <c:overlap val="0"/>
        <c:axId val="51031862"/>
        <c:axId val="93143745"/>
      </c:barChart>
      <c:catAx>
        <c:axId val="51031862"/>
        <c:scaling>
          <c:orientation val="minMax"/>
        </c:scaling>
        <c:delete val="0"/>
        <c:axPos val="b"/>
        <c:numFmt formatCode="General" sourceLinked="1"/>
        <c:majorTickMark val="none"/>
        <c:minorTickMark val="none"/>
        <c:tickLblPos val="nextTo"/>
        <c:spPr>
          <a:ln w="9360">
            <a:solidFill>
              <a:srgbClr val="878787"/>
            </a:solidFill>
            <a:round/>
          </a:ln>
        </c:spPr>
        <c:txPr>
          <a:bodyPr/>
          <a:lstStyle/>
          <a:p>
            <a:pPr>
              <a:defRPr b="0" sz="1000" spc="-1" strike="noStrike">
                <a:solidFill>
                  <a:srgbClr val="000000"/>
                </a:solidFill>
                <a:latin typeface="Calibri"/>
              </a:defRPr>
            </a:pPr>
          </a:p>
        </c:txPr>
        <c:crossAx val="93143745"/>
        <c:crosses val="autoZero"/>
        <c:auto val="1"/>
        <c:lblAlgn val="ctr"/>
        <c:lblOffset val="100"/>
        <c:noMultiLvlLbl val="0"/>
      </c:catAx>
      <c:valAx>
        <c:axId val="93143745"/>
        <c:scaling>
          <c:orientation val="minMax"/>
          <c:min val="0"/>
        </c:scaling>
        <c:delete val="0"/>
        <c:axPos val="l"/>
        <c:title>
          <c:tx>
            <c:rich>
              <a:bodyPr rot="0"/>
              <a:lstStyle/>
              <a:p>
                <a:pPr>
                  <a:defRPr b="1" sz="1000" spc="-1" strike="noStrike">
                    <a:solidFill>
                      <a:srgbClr val="000000"/>
                    </a:solidFill>
                    <a:latin typeface="Calibri"/>
                  </a:defRPr>
                </a:pPr>
                <a:r>
                  <a:rPr b="1" sz="1000" spc="-1" strike="noStrike">
                    <a:solidFill>
                      <a:srgbClr val="000000"/>
                    </a:solidFill>
                    <a:latin typeface="Calibri"/>
                  </a:rPr>
                  <a:t>Revenue ($)</a:t>
                </a:r>
              </a:p>
            </c:rich>
          </c:tx>
          <c:overlay val="0"/>
          <c:spPr>
            <a:noFill/>
            <a:ln w="0">
              <a:noFill/>
            </a:ln>
          </c:spPr>
        </c:title>
        <c:numFmt formatCode="#,##0" sourceLinked="0"/>
        <c:majorTickMark val="none"/>
        <c:minorTickMark val="none"/>
        <c:tickLblPos val="nextTo"/>
        <c:spPr>
          <a:ln w="9360">
            <a:solidFill>
              <a:srgbClr val="878787"/>
            </a:solidFill>
            <a:round/>
          </a:ln>
        </c:spPr>
        <c:txPr>
          <a:bodyPr/>
          <a:lstStyle/>
          <a:p>
            <a:pPr>
              <a:defRPr b="0" sz="1000" spc="-1" strike="noStrike">
                <a:solidFill>
                  <a:srgbClr val="000000"/>
                </a:solidFill>
                <a:latin typeface="Calibri"/>
              </a:defRPr>
            </a:pPr>
          </a:p>
        </c:txPr>
        <c:crossAx val="51031862"/>
        <c:crosses val="autoZero"/>
        <c:crossBetween val="between"/>
      </c:valAx>
      <c:spPr>
        <a:noFill/>
        <a:ln w="0">
          <a:noFill/>
        </a:ln>
      </c:spPr>
    </c:plotArea>
    <c:plotVisOnly val="1"/>
    <c:dispBlanksAs val="gap"/>
  </c:chart>
  <c:spPr>
    <a:solidFill>
      <a:srgbClr val="ffffff"/>
    </a:solidFill>
    <a:ln w="9360">
      <a:solidFill>
        <a:srgbClr val="d9d9d9"/>
      </a:solidFill>
      <a:round/>
    </a:ln>
  </c:spPr>
</c:chartSpace>
</file>

<file path=xl/charts/chart2.xml><?xml version="1.0" encoding="utf-8"?>
<c:chartSpace xmlns:c="http://schemas.openxmlformats.org/drawingml/2006/chart" xmlns:a="http://schemas.openxmlformats.org/drawingml/2006/main" xmlns:r="http://schemas.openxmlformats.org/officeDocument/2006/relationships">
  <c:lang val="en-US"/>
  <c:roundedCorners val="0"/>
  <c:chart>
    <c:title>
      <c:tx>
        <c:rich>
          <a:bodyPr rot="0"/>
          <a:lstStyle/>
          <a:p>
            <a:pPr>
              <a:defRPr b="1" sz="1800" spc="-1" strike="noStrike">
                <a:solidFill>
                  <a:srgbClr val="000000"/>
                </a:solidFill>
                <a:latin typeface="Calibri"/>
              </a:defRPr>
            </a:pPr>
            <a:r>
              <a:rPr b="1" sz="1800" spc="-1" strike="noStrike">
                <a:solidFill>
                  <a:srgbClr val="000000"/>
                </a:solidFill>
                <a:latin typeface="Calibri"/>
              </a:rPr>
              <a:t>Online brings in about half of all revenue</a:t>
            </a:r>
          </a:p>
        </c:rich>
      </c:tx>
      <c:overlay val="0"/>
      <c:spPr>
        <a:noFill/>
        <a:ln w="0">
          <a:noFill/>
        </a:ln>
      </c:spPr>
    </c:title>
    <c:autoTitleDeleted val="0"/>
    <c:plotArea>
      <c:doughnutChart>
        <c:varyColors val="1"/>
        <c:ser>
          <c:idx val="0"/>
          <c:order val="0"/>
          <c:tx>
            <c:strRef>
              <c:f>'Channel Summary'!G3</c:f>
              <c:strCache>
                <c:ptCount val="1"/>
                <c:pt idx="0">
                  <c:v>Revenue ($)</c:v>
                </c:pt>
              </c:strCache>
            </c:strRef>
          </c:tx>
          <c:spPr>
            <a:solidFill>
              <a:srgbClr val="4f81bd"/>
            </a:solidFill>
            <a:ln w="0">
              <a:noFill/>
            </a:ln>
          </c:spPr>
          <c:explosion val="0"/>
          <c:dPt>
            <c:idx val="0"/>
            <c:spPr>
              <a:solidFill>
                <a:srgbClr val="1f4e79"/>
              </a:solidFill>
              <a:ln w="19080">
                <a:solidFill>
                  <a:srgbClr val="ffffff"/>
                </a:solidFill>
                <a:round/>
              </a:ln>
            </c:spPr>
          </c:dPt>
          <c:dPt>
            <c:idx val="1"/>
            <c:spPr>
              <a:solidFill>
                <a:srgbClr val="5b9bd5"/>
              </a:solidFill>
              <a:ln w="19080">
                <a:solidFill>
                  <a:srgbClr val="ffffff"/>
                </a:solidFill>
                <a:round/>
              </a:ln>
            </c:spPr>
          </c:dPt>
          <c:dPt>
            <c:idx val="2"/>
            <c:spPr>
              <a:solidFill>
                <a:srgbClr val="bdd7ee"/>
              </a:solidFill>
              <a:ln w="19080">
                <a:solidFill>
                  <a:srgbClr val="ffffff"/>
                </a:solidFill>
                <a:round/>
              </a:ln>
            </c:spPr>
          </c:dPt>
          <c:dLbls>
            <c:dLbl>
              <c:idx val="0"/>
              <c:txPr>
                <a:bodyPr wrap="square"/>
                <a:lstStyle/>
                <a:p>
                  <a:pPr>
                    <a:defRPr b="0" sz="1000" spc="-1" strike="noStrike">
                      <a:solidFill>
                        <a:srgbClr val="000000"/>
                      </a:solidFill>
                      <a:latin typeface="Calibri"/>
                    </a:defRPr>
                  </a:pPr>
                </a:p>
              </c:txPr>
              <c:showLegendKey val="0"/>
              <c:showVal val="0"/>
              <c:showCatName val="1"/>
              <c:showSerName val="0"/>
              <c:showPercent val="1"/>
              <c:separator>
</c:separator>
            </c:dLbl>
            <c:dLbl>
              <c:idx val="1"/>
              <c:txPr>
                <a:bodyPr wrap="square"/>
                <a:lstStyle/>
                <a:p>
                  <a:pPr>
                    <a:defRPr b="0" sz="1000" spc="-1" strike="noStrike">
                      <a:solidFill>
                        <a:srgbClr val="000000"/>
                      </a:solidFill>
                      <a:latin typeface="Calibri"/>
                    </a:defRPr>
                  </a:pPr>
                </a:p>
              </c:txPr>
              <c:showLegendKey val="0"/>
              <c:showVal val="0"/>
              <c:showCatName val="1"/>
              <c:showSerName val="0"/>
              <c:showPercent val="1"/>
              <c:separator>
</c:separator>
            </c:dLbl>
            <c:dLbl>
              <c:idx val="2"/>
              <c:txPr>
                <a:bodyPr wrap="square"/>
                <a:lstStyle/>
                <a:p>
                  <a:pPr>
                    <a:defRPr b="0" sz="1000" spc="-1" strike="noStrike">
                      <a:solidFill>
                        <a:srgbClr val="000000"/>
                      </a:solidFill>
                      <a:latin typeface="Calibri"/>
                    </a:defRPr>
                  </a:pPr>
                </a:p>
              </c:txPr>
              <c:showLegendKey val="0"/>
              <c:showVal val="0"/>
              <c:showCatName val="1"/>
              <c:showSerName val="0"/>
              <c:showPercent val="1"/>
              <c:separator>
</c:separator>
            </c:dLbl>
            <c:txPr>
              <a:bodyPr wrap="square"/>
              <a:lstStyle/>
              <a:p>
                <a:pPr>
                  <a:defRPr b="0" sz="1000" spc="-1" strike="noStrike">
                    <a:solidFill>
                      <a:srgbClr val="000000"/>
                    </a:solidFill>
                    <a:latin typeface="Calibri"/>
                  </a:defRPr>
                </a:pPr>
              </a:p>
            </c:txPr>
            <c:showLegendKey val="0"/>
            <c:showVal val="0"/>
            <c:showCatName val="1"/>
            <c:showSerName val="0"/>
            <c:showPercent val="1"/>
            <c:separator>
</c:separator>
            <c:showLeaderLines val="1"/>
          </c:dLbls>
          <c:cat>
            <c:strRef>
              <c:f>'Channel Summary'!$F$4:$F$6</c:f>
              <c:strCache>
                <c:ptCount val="3"/>
                <c:pt idx="0">
                  <c:v>Online</c:v>
                </c:pt>
                <c:pt idx="1">
                  <c:v>Retail Store</c:v>
                </c:pt>
                <c:pt idx="2">
                  <c:v>Wholesale</c:v>
                </c:pt>
              </c:strCache>
            </c:strRef>
          </c:cat>
          <c:val>
            <c:numRef>
              <c:f>'Channel Summary'!$G$4:$G$6</c:f>
              <c:numCache>
                <c:formatCode>#,##0</c:formatCode>
                <c:ptCount val="3"/>
                <c:pt idx="0">
                  <c:v>146224</c:v>
                </c:pt>
                <c:pt idx="1">
                  <c:v>83197</c:v>
                </c:pt>
                <c:pt idx="2">
                  <c:v>47349</c:v>
                </c:pt>
              </c:numCache>
            </c:numRef>
          </c:val>
        </c:ser>
        <c:firstSliceAng val="0"/>
        <c:holeSize val="50"/>
      </c:doughnutChart>
      <c:spPr>
        <a:noFill/>
        <a:ln w="0">
          <a:noFill/>
        </a:ln>
      </c:spPr>
    </c:plotArea>
    <c:plotVisOnly val="1"/>
    <c:dispBlanksAs val="gap"/>
  </c:chart>
  <c:spPr>
    <a:solidFill>
      <a:srgbClr val="ffffff"/>
    </a:solidFill>
    <a:ln w="9360">
      <a:solidFill>
        <a:srgbClr val="d9d9d9"/>
      </a:solidFill>
      <a:round/>
    </a:ln>
  </c:spPr>
</c:chartSpace>
</file>

<file path=xl/charts/chart3.xml><?xml version="1.0" encoding="utf-8"?>
<c:chartSpace xmlns:c="http://schemas.openxmlformats.org/drawingml/2006/chart" xmlns:a="http://schemas.openxmlformats.org/drawingml/2006/main" xmlns:r="http://schemas.openxmlformats.org/officeDocument/2006/relationships">
  <c:lang val="en-US"/>
  <c:roundedCorners val="0"/>
  <c:chart>
    <c:title>
      <c:tx>
        <c:rich>
          <a:bodyPr rot="0"/>
          <a:lstStyle/>
          <a:p>
            <a:pPr>
              <a:defRPr b="1" sz="1800" spc="-1" strike="noStrike">
                <a:solidFill>
                  <a:srgbClr val="000000"/>
                </a:solidFill>
                <a:latin typeface="Calibri"/>
              </a:defRPr>
            </a:pPr>
            <a:r>
              <a:rPr b="1" sz="1800" spc="-1" strike="noStrike">
                <a:solidFill>
                  <a:srgbClr val="000000"/>
                </a:solidFill>
                <a:latin typeface="Calibri"/>
              </a:rPr>
              <a:t>Electronics dwarfs every other category (misleading)</a:t>
            </a:r>
          </a:p>
        </c:rich>
      </c:tx>
      <c:overlay val="0"/>
      <c:spPr>
        <a:noFill/>
        <a:ln w="0">
          <a:noFill/>
        </a:ln>
      </c:spPr>
    </c:title>
    <c:autoTitleDeleted val="0"/>
    <c:plotArea>
      <c:barChart>
        <c:barDir val="bar"/>
        <c:grouping val="clustered"/>
        <c:varyColors val="0"/>
        <c:ser>
          <c:idx val="0"/>
          <c:order val="0"/>
          <c:tx>
            <c:strRef>
              <c:f>'Category Summary'!G3</c:f>
              <c:strCache>
                <c:ptCount val="1"/>
                <c:pt idx="0">
                  <c:v>Revenue ($)</c:v>
                </c:pt>
              </c:strCache>
            </c:strRef>
          </c:tx>
          <c:spPr>
            <a:solidFill>
              <a:srgbClr val="a6b4c8"/>
            </a:solidFill>
            <a:ln w="9360">
              <a:solidFill>
                <a:srgbClr val="a6b4c8"/>
              </a:solidFill>
              <a:round/>
            </a:ln>
          </c:spPr>
          <c:invertIfNegative val="0"/>
          <c:dLbls>
            <c:numFmt formatCode="#,##0" sourceLinked="1"/>
            <c:txPr>
              <a:bodyPr wrap="square"/>
              <a:lstStyle/>
              <a:p>
                <a:pPr>
                  <a:defRPr b="0" sz="1000" spc="-1" strike="noStrike">
                    <a:solidFill>
                      <a:srgbClr val="000000"/>
                    </a:solidFill>
                    <a:latin typeface="Calibri"/>
                  </a:defRPr>
                </a:pPr>
              </a:p>
            </c:txPr>
            <c:dLblPos val="outEnd"/>
            <c:showLegendKey val="0"/>
            <c:showVal val="1"/>
            <c:showCatName val="0"/>
            <c:showSerName val="0"/>
            <c:showPercent val="0"/>
            <c:separator>; </c:separator>
            <c:showLeaderLines val="1"/>
            <c:extLst>
              <c:ext xmlns:c15="http://schemas.microsoft.com/office/drawing/2012/chart" uri="{CE6537A1-D6FC-4f65-9D91-7224C49458BB}">
                <c15:showLeaderLines val="1"/>
              </c:ext>
            </c:extLst>
          </c:dLbls>
          <c:cat>
            <c:strRef>
              <c:f>'Category Summary'!$F$4:$F$8</c:f>
              <c:strCache>
                <c:ptCount val="5"/>
                <c:pt idx="0">
                  <c:v>Accessories</c:v>
                </c:pt>
                <c:pt idx="1">
                  <c:v>Clothing</c:v>
                </c:pt>
                <c:pt idx="2">
                  <c:v>Office Supplies</c:v>
                </c:pt>
                <c:pt idx="3">
                  <c:v>Furniture</c:v>
                </c:pt>
                <c:pt idx="4">
                  <c:v>Electronics</c:v>
                </c:pt>
              </c:strCache>
            </c:strRef>
          </c:cat>
          <c:val>
            <c:numRef>
              <c:f>'Category Summary'!$G$4:$G$8</c:f>
              <c:numCache>
                <c:formatCode>#,##0</c:formatCode>
                <c:ptCount val="5"/>
                <c:pt idx="0">
                  <c:v>27188</c:v>
                </c:pt>
                <c:pt idx="1">
                  <c:v>40734</c:v>
                </c:pt>
                <c:pt idx="2">
                  <c:v>51166</c:v>
                </c:pt>
                <c:pt idx="3">
                  <c:v>68215</c:v>
                </c:pt>
                <c:pt idx="4">
                  <c:v>89467</c:v>
                </c:pt>
              </c:numCache>
            </c:numRef>
          </c:val>
        </c:ser>
        <c:gapWidth val="60"/>
        <c:overlap val="0"/>
        <c:axId val="36492989"/>
        <c:axId val="32377968"/>
      </c:barChart>
      <c:catAx>
        <c:axId val="36492989"/>
        <c:scaling>
          <c:orientation val="minMax"/>
        </c:scaling>
        <c:delete val="0"/>
        <c:axPos val="b"/>
        <c:numFmt formatCode="General" sourceLinked="1"/>
        <c:majorTickMark val="none"/>
        <c:minorTickMark val="none"/>
        <c:tickLblPos val="nextTo"/>
        <c:spPr>
          <a:ln w="9360">
            <a:solidFill>
              <a:srgbClr val="878787"/>
            </a:solidFill>
            <a:round/>
          </a:ln>
        </c:spPr>
        <c:txPr>
          <a:bodyPr/>
          <a:lstStyle/>
          <a:p>
            <a:pPr>
              <a:defRPr b="0" sz="1000" spc="-1" strike="noStrike">
                <a:solidFill>
                  <a:srgbClr val="000000"/>
                </a:solidFill>
                <a:latin typeface="Calibri"/>
              </a:defRPr>
            </a:pPr>
          </a:p>
        </c:txPr>
        <c:crossAx val="32377968"/>
        <c:crosses val="autoZero"/>
        <c:auto val="1"/>
        <c:lblAlgn val="ctr"/>
        <c:lblOffset val="100"/>
        <c:noMultiLvlLbl val="0"/>
      </c:catAx>
      <c:valAx>
        <c:axId val="32377968"/>
        <c:scaling>
          <c:orientation val="minMax"/>
          <c:min val="25000"/>
        </c:scaling>
        <c:delete val="0"/>
        <c:axPos val="l"/>
        <c:title>
          <c:tx>
            <c:rich>
              <a:bodyPr rot="0"/>
              <a:lstStyle/>
              <a:p>
                <a:pPr>
                  <a:defRPr b="1" sz="1000" spc="-1" strike="noStrike">
                    <a:solidFill>
                      <a:srgbClr val="000000"/>
                    </a:solidFill>
                    <a:latin typeface="Calibri"/>
                  </a:defRPr>
                </a:pPr>
                <a:r>
                  <a:rPr b="1" sz="1000" spc="-1" strike="noStrike">
                    <a:solidFill>
                      <a:srgbClr val="000000"/>
                    </a:solidFill>
                    <a:latin typeface="Calibri"/>
                  </a:rPr>
                  <a:t>Revenue ($)</a:t>
                </a:r>
              </a:p>
            </c:rich>
          </c:tx>
          <c:overlay val="0"/>
          <c:spPr>
            <a:noFill/>
            <a:ln w="0">
              <a:noFill/>
            </a:ln>
          </c:spPr>
        </c:title>
        <c:numFmt formatCode="#,##0" sourceLinked="0"/>
        <c:majorTickMark val="none"/>
        <c:minorTickMark val="none"/>
        <c:tickLblPos val="nextTo"/>
        <c:spPr>
          <a:ln w="9360">
            <a:solidFill>
              <a:srgbClr val="878787"/>
            </a:solidFill>
            <a:round/>
          </a:ln>
        </c:spPr>
        <c:txPr>
          <a:bodyPr/>
          <a:lstStyle/>
          <a:p>
            <a:pPr>
              <a:defRPr b="0" sz="1000" spc="-1" strike="noStrike">
                <a:solidFill>
                  <a:srgbClr val="000000"/>
                </a:solidFill>
                <a:latin typeface="Calibri"/>
              </a:defRPr>
            </a:pPr>
          </a:p>
        </c:txPr>
        <c:crossAx val="36492989"/>
        <c:crosses val="autoZero"/>
        <c:crossBetween val="between"/>
      </c:valAx>
      <c:spPr>
        <a:noFill/>
        <a:ln w="0">
          <a:noFill/>
        </a:ln>
      </c:spPr>
    </c:plotArea>
    <c:plotVisOnly val="1"/>
    <c:dispBlanksAs val="gap"/>
  </c:chart>
  <c:spPr>
    <a:solidFill>
      <a:srgbClr val="ffffff"/>
    </a:solidFill>
    <a:ln w="9360">
      <a:solidFill>
        <a:srgbClr val="d9d9d9"/>
      </a:solidFill>
      <a:round/>
    </a:ln>
  </c:spPr>
</c:chartSpace>
</file>

<file path=xl/charts/chart4.xml><?xml version="1.0" encoding="utf-8"?>
<c:chartSpace xmlns:c="http://schemas.openxmlformats.org/drawingml/2006/chart" xmlns:a="http://schemas.openxmlformats.org/drawingml/2006/main" xmlns:r="http://schemas.openxmlformats.org/officeDocument/2006/relationships">
  <c:lang val="en-US"/>
  <c:roundedCorners val="0"/>
  <c:chart>
    <c:title>
      <c:tx>
        <c:rich>
          <a:bodyPr rot="0"/>
          <a:lstStyle/>
          <a:p>
            <a:pPr>
              <a:defRPr b="1" sz="1800" spc="-1" strike="noStrike">
                <a:solidFill>
                  <a:srgbClr val="000000"/>
                </a:solidFill>
                <a:latin typeface="Calibri"/>
              </a:defRPr>
            </a:pPr>
            <a:r>
              <a:rPr b="1" sz="1800" spc="-1" strike="noStrike">
                <a:solidFill>
                  <a:srgbClr val="000000"/>
                </a:solidFill>
                <a:latin typeface="Calibri"/>
              </a:rPr>
              <a:t>Electronics generates the highest revenue of all categories</a:t>
            </a:r>
          </a:p>
        </c:rich>
      </c:tx>
      <c:overlay val="0"/>
      <c:spPr>
        <a:noFill/>
        <a:ln w="0">
          <a:noFill/>
        </a:ln>
      </c:spPr>
    </c:title>
    <c:autoTitleDeleted val="0"/>
    <c:plotArea>
      <c:barChart>
        <c:barDir val="bar"/>
        <c:grouping val="clustered"/>
        <c:varyColors val="0"/>
        <c:ser>
          <c:idx val="0"/>
          <c:order val="0"/>
          <c:tx>
            <c:strRef>
              <c:f>'Category Summary'!G3</c:f>
              <c:strCache>
                <c:ptCount val="1"/>
                <c:pt idx="0">
                  <c:v>Revenue ($)</c:v>
                </c:pt>
              </c:strCache>
            </c:strRef>
          </c:tx>
          <c:spPr>
            <a:solidFill>
              <a:srgbClr val="a6b4c8"/>
            </a:solidFill>
            <a:ln w="9360">
              <a:solidFill>
                <a:srgbClr val="a6b4c8"/>
              </a:solidFill>
              <a:round/>
            </a:ln>
          </c:spPr>
          <c:invertIfNegative val="0"/>
          <c:dPt>
            <c:idx val="4"/>
            <c:invertIfNegative val="0"/>
            <c:spPr>
              <a:solidFill>
                <a:srgbClr val="1f4e79"/>
              </a:solidFill>
              <a:ln w="9360">
                <a:solidFill>
                  <a:srgbClr val="1f4e79"/>
                </a:solidFill>
                <a:round/>
              </a:ln>
            </c:spPr>
          </c:dPt>
          <c:dLbls>
            <c:numFmt formatCode="#,##0" sourceLinked="1"/>
            <c:dLbl>
              <c:idx val="4"/>
              <c:numFmt formatCode="#,##0" sourceLinked="1"/>
              <c:txPr>
                <a:bodyPr wrap="square"/>
                <a:lstStyle/>
                <a:p>
                  <a:pPr>
                    <a:defRPr b="0" sz="1000" spc="-1" strike="noStrike">
                      <a:solidFill>
                        <a:srgbClr val="000000"/>
                      </a:solidFill>
                      <a:latin typeface="Calibri"/>
                    </a:defRPr>
                  </a:pPr>
                </a:p>
              </c:txPr>
              <c:dLblPos val="outEnd"/>
              <c:showLegendKey val="0"/>
              <c:showVal val="1"/>
              <c:showCatName val="0"/>
              <c:showSerName val="0"/>
              <c:showPercent val="0"/>
              <c:separator>; </c:separator>
            </c:dLbl>
            <c:txPr>
              <a:bodyPr wrap="square"/>
              <a:lstStyle/>
              <a:p>
                <a:pPr>
                  <a:defRPr b="0" sz="1000" spc="-1" strike="noStrike">
                    <a:solidFill>
                      <a:srgbClr val="000000"/>
                    </a:solidFill>
                    <a:latin typeface="Calibri"/>
                  </a:defRPr>
                </a:pPr>
              </a:p>
            </c:txPr>
            <c:dLblPos val="outEnd"/>
            <c:showLegendKey val="0"/>
            <c:showVal val="1"/>
            <c:showCatName val="0"/>
            <c:showSerName val="0"/>
            <c:showPercent val="0"/>
            <c:separator>; </c:separator>
            <c:showLeaderLines val="1"/>
            <c:extLst>
              <c:ext xmlns:c15="http://schemas.microsoft.com/office/drawing/2012/chart" uri="{CE6537A1-D6FC-4f65-9D91-7224C49458BB}">
                <c15:showLeaderLines val="1"/>
              </c:ext>
            </c:extLst>
          </c:dLbls>
          <c:cat>
            <c:strRef>
              <c:f>'Category Summary'!$F$4:$F$8</c:f>
              <c:strCache>
                <c:ptCount val="5"/>
                <c:pt idx="0">
                  <c:v>Accessories</c:v>
                </c:pt>
                <c:pt idx="1">
                  <c:v>Clothing</c:v>
                </c:pt>
                <c:pt idx="2">
                  <c:v>Office Supplies</c:v>
                </c:pt>
                <c:pt idx="3">
                  <c:v>Furniture</c:v>
                </c:pt>
                <c:pt idx="4">
                  <c:v>Electronics</c:v>
                </c:pt>
              </c:strCache>
            </c:strRef>
          </c:cat>
          <c:val>
            <c:numRef>
              <c:f>'Category Summary'!$G$4:$G$8</c:f>
              <c:numCache>
                <c:formatCode>#,##0</c:formatCode>
                <c:ptCount val="5"/>
                <c:pt idx="0">
                  <c:v>27188</c:v>
                </c:pt>
                <c:pt idx="1">
                  <c:v>40734</c:v>
                </c:pt>
                <c:pt idx="2">
                  <c:v>51166</c:v>
                </c:pt>
                <c:pt idx="3">
                  <c:v>68215</c:v>
                </c:pt>
                <c:pt idx="4">
                  <c:v>89467</c:v>
                </c:pt>
              </c:numCache>
            </c:numRef>
          </c:val>
        </c:ser>
        <c:gapWidth val="60"/>
        <c:overlap val="0"/>
        <c:axId val="25950941"/>
        <c:axId val="58209707"/>
      </c:barChart>
      <c:catAx>
        <c:axId val="25950941"/>
        <c:scaling>
          <c:orientation val="minMax"/>
        </c:scaling>
        <c:delete val="0"/>
        <c:axPos val="b"/>
        <c:numFmt formatCode="General" sourceLinked="1"/>
        <c:majorTickMark val="none"/>
        <c:minorTickMark val="none"/>
        <c:tickLblPos val="nextTo"/>
        <c:spPr>
          <a:ln w="9360">
            <a:solidFill>
              <a:srgbClr val="878787"/>
            </a:solidFill>
            <a:round/>
          </a:ln>
        </c:spPr>
        <c:txPr>
          <a:bodyPr/>
          <a:lstStyle/>
          <a:p>
            <a:pPr>
              <a:defRPr b="0" sz="1000" spc="-1" strike="noStrike">
                <a:solidFill>
                  <a:srgbClr val="000000"/>
                </a:solidFill>
                <a:latin typeface="Calibri"/>
              </a:defRPr>
            </a:pPr>
          </a:p>
        </c:txPr>
        <c:crossAx val="58209707"/>
        <c:crosses val="autoZero"/>
        <c:auto val="1"/>
        <c:lblAlgn val="ctr"/>
        <c:lblOffset val="100"/>
        <c:noMultiLvlLbl val="0"/>
      </c:catAx>
      <c:valAx>
        <c:axId val="58209707"/>
        <c:scaling>
          <c:orientation val="minMax"/>
          <c:min val="0"/>
        </c:scaling>
        <c:delete val="0"/>
        <c:axPos val="l"/>
        <c:title>
          <c:tx>
            <c:rich>
              <a:bodyPr rot="0"/>
              <a:lstStyle/>
              <a:p>
                <a:pPr>
                  <a:defRPr b="1" sz="1000" spc="-1" strike="noStrike">
                    <a:solidFill>
                      <a:srgbClr val="000000"/>
                    </a:solidFill>
                    <a:latin typeface="Calibri"/>
                  </a:defRPr>
                </a:pPr>
                <a:r>
                  <a:rPr b="1" sz="1000" spc="-1" strike="noStrike">
                    <a:solidFill>
                      <a:srgbClr val="000000"/>
                    </a:solidFill>
                    <a:latin typeface="Calibri"/>
                  </a:rPr>
                  <a:t>Revenue ($)</a:t>
                </a:r>
              </a:p>
            </c:rich>
          </c:tx>
          <c:overlay val="0"/>
          <c:spPr>
            <a:noFill/>
            <a:ln w="0">
              <a:noFill/>
            </a:ln>
          </c:spPr>
        </c:title>
        <c:numFmt formatCode="#,##0" sourceLinked="0"/>
        <c:majorTickMark val="none"/>
        <c:minorTickMark val="none"/>
        <c:tickLblPos val="nextTo"/>
        <c:spPr>
          <a:ln w="9360">
            <a:solidFill>
              <a:srgbClr val="878787"/>
            </a:solidFill>
            <a:round/>
          </a:ln>
        </c:spPr>
        <c:txPr>
          <a:bodyPr/>
          <a:lstStyle/>
          <a:p>
            <a:pPr>
              <a:defRPr b="0" sz="1000" spc="-1" strike="noStrike">
                <a:solidFill>
                  <a:srgbClr val="000000"/>
                </a:solidFill>
                <a:latin typeface="Calibri"/>
              </a:defRPr>
            </a:pPr>
          </a:p>
        </c:txPr>
        <c:crossAx val="25950941"/>
        <c:crosses val="autoZero"/>
        <c:crossBetween val="between"/>
      </c:valAx>
      <c:spPr>
        <a:noFill/>
        <a:ln w="0">
          <a:noFill/>
        </a:ln>
      </c:spPr>
    </c:plotArea>
    <c:plotVisOnly val="1"/>
    <c:dispBlanksAs val="gap"/>
  </c:chart>
  <c:spPr>
    <a:solidFill>
      <a:srgbClr val="ffffff"/>
    </a:solidFill>
    <a:ln w="9360">
      <a:solidFill>
        <a:srgbClr val="d9d9d9"/>
      </a:solidFill>
      <a:round/>
    </a:ln>
  </c:spPr>
</c:chartSpace>
</file>

<file path=xl/drawings/_rels/drawing1.xml.rels><?xml version="1.0" encoding="UTF-8"?>
<Relationships xmlns="http://schemas.openxmlformats.org/package/2006/relationships"><Relationship Id="rId1" Type="http://schemas.openxmlformats.org/officeDocument/2006/relationships/chart" Target="../charts/chart1.xml"/>
</Relationships>
</file>

<file path=xl/drawings/_rels/drawing2.xml.rels><?xml version="1.0" encoding="UTF-8"?>
<Relationships xmlns="http://schemas.openxmlformats.org/package/2006/relationships"><Relationship Id="rId1" Type="http://schemas.openxmlformats.org/officeDocument/2006/relationships/chart" Target="../charts/chart2.xml"/>
</Relationships>
</file>

<file path=xl/drawings/_rels/drawing3.xml.rels><?xml version="1.0" encoding="UTF-8"?>
<Relationships xmlns="http://schemas.openxmlformats.org/package/2006/relationships"><Relationship Id="rId1" Type="http://schemas.openxmlformats.org/officeDocument/2006/relationships/chart" Target="../charts/chart3.xml"/><Relationship Id="rId2" Type="http://schemas.openxmlformats.org/officeDocument/2006/relationships/chart" Target="../charts/chart4.xml"/>
</Relationships>
</file>

<file path=xl/drawings/drawing1.xml><?xml version="1.0" encoding="utf-8"?>
<xdr:wsDr xmlns:xdr="http://schemas.openxmlformats.org/drawingml/2006/spreadsheetDrawing" xmlns:a="http://schemas.openxmlformats.org/drawingml/2006/main" xmlns:r="http://schemas.openxmlformats.org/officeDocument/2006/relationships">
  <xdr:twoCellAnchor editAs="oneCell">
    <xdr:from>
      <xdr:col>0</xdr:col>
      <xdr:colOff>0</xdr:colOff>
      <xdr:row>2</xdr:row>
      <xdr:rowOff>160920</xdr:rowOff>
    </xdr:from>
    <xdr:to>
      <xdr:col>10</xdr:col>
      <xdr:colOff>364680</xdr:colOff>
      <xdr:row>19</xdr:row>
      <xdr:rowOff>162000</xdr:rowOff>
    </xdr:to>
    <xdr:graphicFrame>
      <xdr:nvGraphicFramePr>
        <xdr:cNvPr id="0" name="Chart 1"/>
        <xdr:cNvGraphicFramePr/>
      </xdr:nvGraphicFramePr>
      <xdr:xfrm>
        <a:off x="0" y="571680"/>
        <a:ext cx="6479640" cy="323964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2.xml><?xml version="1.0" encoding="utf-8"?>
<xdr:wsDr xmlns:xdr="http://schemas.openxmlformats.org/drawingml/2006/spreadsheetDrawing" xmlns:a="http://schemas.openxmlformats.org/drawingml/2006/main" xmlns:r="http://schemas.openxmlformats.org/officeDocument/2006/relationships">
  <xdr:twoCellAnchor editAs="oneCell">
    <xdr:from>
      <xdr:col>0</xdr:col>
      <xdr:colOff>0</xdr:colOff>
      <xdr:row>2</xdr:row>
      <xdr:rowOff>160920</xdr:rowOff>
    </xdr:from>
    <xdr:to>
      <xdr:col>8</xdr:col>
      <xdr:colOff>147600</xdr:colOff>
      <xdr:row>21</xdr:row>
      <xdr:rowOff>141120</xdr:rowOff>
    </xdr:to>
    <xdr:graphicFrame>
      <xdr:nvGraphicFramePr>
        <xdr:cNvPr id="1" name="Chart 1"/>
        <xdr:cNvGraphicFramePr/>
      </xdr:nvGraphicFramePr>
      <xdr:xfrm>
        <a:off x="0" y="571680"/>
        <a:ext cx="5039640" cy="359964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3.xml><?xml version="1.0" encoding="utf-8"?>
<xdr:wsDr xmlns:xdr="http://schemas.openxmlformats.org/drawingml/2006/spreadsheetDrawing" xmlns:a="http://schemas.openxmlformats.org/drawingml/2006/main" xmlns:r="http://schemas.openxmlformats.org/officeDocument/2006/relationships">
  <xdr:twoCellAnchor editAs="oneCell">
    <xdr:from>
      <xdr:col>0</xdr:col>
      <xdr:colOff>0</xdr:colOff>
      <xdr:row>2</xdr:row>
      <xdr:rowOff>160920</xdr:rowOff>
    </xdr:from>
    <xdr:to>
      <xdr:col>10</xdr:col>
      <xdr:colOff>364680</xdr:colOff>
      <xdr:row>19</xdr:row>
      <xdr:rowOff>162000</xdr:rowOff>
    </xdr:to>
    <xdr:graphicFrame>
      <xdr:nvGraphicFramePr>
        <xdr:cNvPr id="2" name="Chart 1"/>
        <xdr:cNvGraphicFramePr/>
      </xdr:nvGraphicFramePr>
      <xdr:xfrm>
        <a:off x="0" y="571680"/>
        <a:ext cx="6479640" cy="323964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0</xdr:col>
      <xdr:colOff>0</xdr:colOff>
      <xdr:row>29</xdr:row>
      <xdr:rowOff>160920</xdr:rowOff>
    </xdr:from>
    <xdr:to>
      <xdr:col>10</xdr:col>
      <xdr:colOff>364680</xdr:colOff>
      <xdr:row>46</xdr:row>
      <xdr:rowOff>162000</xdr:rowOff>
    </xdr:to>
    <xdr:graphicFrame>
      <xdr:nvGraphicFramePr>
        <xdr:cNvPr id="3" name="Chart 2"/>
        <xdr:cNvGraphicFramePr/>
      </xdr:nvGraphicFramePr>
      <xdr:xfrm>
        <a:off x="0" y="6286680"/>
        <a:ext cx="6479640" cy="323964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wsDr>
</file>

<file path=xl/theme/theme1.xml><?xml version="1.0" encoding="utf-8"?>
<a:theme xmlns:a="http://schemas.openxmlformats.org/drawingml/2006/main" xmlns:r="http://schemas.openxmlformats.org/officeDocument/2006/relationships"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itchFamily="0" charset="1"/>
        <a:ea typeface=""/>
        <a:cs typeface=""/>
      </a:majorFont>
      <a:minorFont>
        <a:latin typeface="Calibri" pitchFamily="0" charset="1"/>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l="0" t="0" r="0" b="0"/>
        </a:gradFill>
        <a:gradFill>
          <a:gsLst>
            <a:gs pos="0">
              <a:schemeClr val="phClr">
                <a:shade val="51000"/>
              </a:schemeClr>
            </a:gs>
            <a:gs pos="80000">
              <a:schemeClr val="phClr">
                <a:shade val="93000"/>
              </a:schemeClr>
            </a:gs>
            <a:gs pos="100000">
              <a:schemeClr val="phClr">
                <a:shade val="94000"/>
              </a:schemeClr>
            </a:gs>
          </a:gsLst>
          <a:lin ang="16200000" scaled="0"/>
          <a:tileRect l="0" t="0" r="0" b="0"/>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l="0" t="0" r="0" b="0"/>
        </a:gradFill>
        <a:gradFill>
          <a:gsLst>
            <a:gs pos="0">
              <a:schemeClr val="phClr">
                <a:tint val="80000"/>
              </a:schemeClr>
            </a:gs>
            <a:gs pos="100000">
              <a:schemeClr val="phClr">
                <a:shade val="30000"/>
              </a:schemeClr>
            </a:gs>
          </a:gsLst>
          <a:path path="circle">
            <a:fillToRect l="50000" t="50000" r="50000" b="50000"/>
          </a:path>
          <a:tileRect l="0" t="0" r="0" b="0"/>
        </a:gradFill>
      </a:bgFillStyleLst>
    </a:fmtScheme>
  </a:themeElements>
</a:theme>
</file>

<file path=xl/worksheets/_rels/sheet5.xml.rels><?xml version="1.0" encoding="UTF-8"?>
<Relationships xmlns="http://schemas.openxmlformats.org/package/2006/relationships"><Relationship Id="rId1" Type="http://schemas.openxmlformats.org/officeDocument/2006/relationships/drawing" Target="../drawings/drawing1.xml"/>
</Relationships>
</file>

<file path=xl/worksheets/_rels/sheet6.xml.rels><?xml version="1.0" encoding="UTF-8"?>
<Relationships xmlns="http://schemas.openxmlformats.org/package/2006/relationships"><Relationship Id="rId1" Type="http://schemas.openxmlformats.org/officeDocument/2006/relationships/drawing" Target="../drawings/drawing2.xml"/>
</Relationships>
</file>

<file path=xl/worksheets/_rels/sheet7.xml.rels><?xml version="1.0" encoding="UTF-8"?>
<Relationships xmlns="http://schemas.openxmlformats.org/package/2006/relationships"><Relationship Id="rId1" Type="http://schemas.openxmlformats.org/officeDocument/2006/relationships/drawing" Target="../drawings/drawing3.xml"/>
</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B17"/>
  <sheetViews>
    <sheetView showFormulas="false" showGridLines="false" showRowColHeaders="true" showZeros="true" rightToLeft="false" tabSelected="tru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20"/>
    <col collapsed="false" customWidth="true" hidden="false" outlineLevel="0" max="2" min="2" style="0" width="95"/>
  </cols>
  <sheetData>
    <row r="1" customFormat="false" ht="17.35" hidden="false" customHeight="false" outlineLevel="0" collapsed="false">
      <c r="A1" s="1" t="s">
        <v>0</v>
      </c>
    </row>
    <row r="3" customFormat="false" ht="15" hidden="false" customHeight="false" outlineLevel="0" collapsed="false">
      <c r="A3" s="2" t="s">
        <v>1</v>
      </c>
      <c r="B3" s="3" t="s">
        <v>2</v>
      </c>
    </row>
    <row r="4" customFormat="false" ht="15" hidden="false" customHeight="false" outlineLevel="0" collapsed="false">
      <c r="A4" s="2" t="s">
        <v>3</v>
      </c>
      <c r="B4" s="3" t="s">
        <v>4</v>
      </c>
    </row>
    <row r="5" customFormat="false" ht="15" hidden="false" customHeight="false" outlineLevel="0" collapsed="false">
      <c r="A5" s="2" t="s">
        <v>5</v>
      </c>
      <c r="B5" s="4" t="s">
        <v>6</v>
      </c>
    </row>
    <row r="6" customFormat="false" ht="15" hidden="false" customHeight="false" outlineLevel="0" collapsed="false">
      <c r="A6" s="2" t="s">
        <v>7</v>
      </c>
      <c r="B6" s="4" t="s">
        <v>8</v>
      </c>
    </row>
    <row r="8" customFormat="false" ht="15" hidden="false" customHeight="false" outlineLevel="0" collapsed="false">
      <c r="A8" s="2" t="s">
        <v>9</v>
      </c>
    </row>
    <row r="9" customFormat="false" ht="15" hidden="false" customHeight="false" outlineLevel="0" collapsed="false">
      <c r="A9" s="2" t="s">
        <v>10</v>
      </c>
      <c r="B9" s="4" t="s">
        <v>11</v>
      </c>
    </row>
    <row r="10" customFormat="false" ht="15" hidden="false" customHeight="false" outlineLevel="0" collapsed="false">
      <c r="A10" s="2" t="s">
        <v>12</v>
      </c>
      <c r="B10" s="4" t="s">
        <v>13</v>
      </c>
    </row>
    <row r="11" customFormat="false" ht="15" hidden="false" customHeight="false" outlineLevel="0" collapsed="false">
      <c r="A11" s="2" t="s">
        <v>14</v>
      </c>
      <c r="B11" s="4" t="s">
        <v>15</v>
      </c>
    </row>
    <row r="12" customFormat="false" ht="15" hidden="false" customHeight="false" outlineLevel="0" collapsed="false">
      <c r="A12" s="2" t="s">
        <v>16</v>
      </c>
      <c r="B12" s="4" t="s">
        <v>17</v>
      </c>
    </row>
    <row r="13" customFormat="false" ht="15" hidden="false" customHeight="false" outlineLevel="0" collapsed="false">
      <c r="A13" s="2" t="s">
        <v>18</v>
      </c>
      <c r="B13" s="4" t="s">
        <v>19</v>
      </c>
    </row>
    <row r="14" customFormat="false" ht="15" hidden="false" customHeight="false" outlineLevel="0" collapsed="false">
      <c r="A14" s="2" t="s">
        <v>20</v>
      </c>
      <c r="B14" s="4" t="s">
        <v>21</v>
      </c>
    </row>
    <row r="15" customFormat="false" ht="15" hidden="false" customHeight="false" outlineLevel="0" collapsed="false">
      <c r="A15" s="2" t="s">
        <v>22</v>
      </c>
      <c r="B15" s="4" t="s">
        <v>23</v>
      </c>
    </row>
    <row r="17" customFormat="false" ht="15" hidden="false" customHeight="false" outlineLevel="0" collapsed="false">
      <c r="A17" s="5" t="s">
        <v>24</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E93"/>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1" topLeftCell="A2"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0" width="11"/>
    <col collapsed="false" customWidth="true" hidden="false" outlineLevel="0" max="2" min="2" style="0" width="9"/>
    <col collapsed="false" customWidth="true" hidden="false" outlineLevel="0" max="3" min="3" style="0" width="18"/>
    <col collapsed="false" customWidth="true" hidden="false" outlineLevel="0" max="4" min="4" style="0" width="15"/>
    <col collapsed="false" customWidth="true" hidden="false" outlineLevel="0" max="5" min="5" style="0" width="14"/>
  </cols>
  <sheetData>
    <row r="1" customFormat="false" ht="15" hidden="false" customHeight="false" outlineLevel="0" collapsed="false">
      <c r="A1" s="6" t="s">
        <v>25</v>
      </c>
      <c r="B1" s="6" t="s">
        <v>26</v>
      </c>
      <c r="C1" s="6" t="s">
        <v>27</v>
      </c>
      <c r="D1" s="6" t="s">
        <v>28</v>
      </c>
      <c r="E1" s="6" t="s">
        <v>29</v>
      </c>
    </row>
    <row r="2" customFormat="false" ht="15" hidden="false" customHeight="false" outlineLevel="0" collapsed="false">
      <c r="A2" s="7" t="n">
        <v>1001</v>
      </c>
      <c r="B2" s="7" t="s">
        <v>30</v>
      </c>
      <c r="C2" s="7" t="s">
        <v>31</v>
      </c>
      <c r="D2" s="7" t="s">
        <v>32</v>
      </c>
      <c r="E2" s="8" t="n">
        <v>8018</v>
      </c>
    </row>
    <row r="3" customFormat="false" ht="15" hidden="false" customHeight="false" outlineLevel="0" collapsed="false">
      <c r="A3" s="7" t="n">
        <v>1002</v>
      </c>
      <c r="B3" s="7" t="s">
        <v>30</v>
      </c>
      <c r="C3" s="7" t="s">
        <v>31</v>
      </c>
      <c r="D3" s="7" t="s">
        <v>33</v>
      </c>
      <c r="E3" s="8" t="n">
        <v>3934</v>
      </c>
    </row>
    <row r="4" customFormat="false" ht="15" hidden="false" customHeight="false" outlineLevel="0" collapsed="false">
      <c r="A4" s="7" t="n">
        <v>1003</v>
      </c>
      <c r="B4" s="7" t="s">
        <v>30</v>
      </c>
      <c r="C4" s="7" t="s">
        <v>31</v>
      </c>
      <c r="D4" s="7" t="s">
        <v>34</v>
      </c>
      <c r="E4" s="8" t="n">
        <v>2346</v>
      </c>
    </row>
    <row r="5" customFormat="false" ht="15" hidden="false" customHeight="false" outlineLevel="0" collapsed="false">
      <c r="A5" s="7" t="n">
        <v>1004</v>
      </c>
      <c r="B5" s="7" t="s">
        <v>30</v>
      </c>
      <c r="C5" s="7" t="s">
        <v>35</v>
      </c>
      <c r="D5" s="7" t="s">
        <v>32</v>
      </c>
      <c r="E5" s="8" t="n">
        <v>5340</v>
      </c>
    </row>
    <row r="6" customFormat="false" ht="15" hidden="false" customHeight="false" outlineLevel="0" collapsed="false">
      <c r="A6" s="7" t="n">
        <v>1005</v>
      </c>
      <c r="B6" s="7" t="s">
        <v>30</v>
      </c>
      <c r="C6" s="7" t="s">
        <v>35</v>
      </c>
      <c r="D6" s="7" t="s">
        <v>33</v>
      </c>
      <c r="E6" s="8" t="n">
        <v>3718</v>
      </c>
    </row>
    <row r="7" customFormat="false" ht="15" hidden="false" customHeight="false" outlineLevel="0" collapsed="false">
      <c r="A7" s="7" t="n">
        <v>1006</v>
      </c>
      <c r="B7" s="7" t="s">
        <v>30</v>
      </c>
      <c r="C7" s="7" t="s">
        <v>35</v>
      </c>
      <c r="D7" s="7" t="s">
        <v>34</v>
      </c>
      <c r="E7" s="8" t="n">
        <v>2005</v>
      </c>
    </row>
    <row r="8" customFormat="false" ht="15" hidden="false" customHeight="false" outlineLevel="0" collapsed="false">
      <c r="A8" s="7" t="n">
        <v>1007</v>
      </c>
      <c r="B8" s="7" t="s">
        <v>30</v>
      </c>
      <c r="C8" s="7" t="s">
        <v>36</v>
      </c>
      <c r="D8" s="7" t="s">
        <v>32</v>
      </c>
      <c r="E8" s="8" t="n">
        <v>4998</v>
      </c>
    </row>
    <row r="9" customFormat="false" ht="15" hidden="false" customHeight="false" outlineLevel="0" collapsed="false">
      <c r="A9" s="7" t="n">
        <v>1008</v>
      </c>
      <c r="B9" s="7" t="s">
        <v>30</v>
      </c>
      <c r="C9" s="7" t="s">
        <v>36</v>
      </c>
      <c r="D9" s="7" t="s">
        <v>33</v>
      </c>
      <c r="E9" s="8" t="n">
        <v>2336</v>
      </c>
    </row>
    <row r="10" customFormat="false" ht="15" hidden="false" customHeight="false" outlineLevel="0" collapsed="false">
      <c r="A10" s="7" t="n">
        <v>1009</v>
      </c>
      <c r="B10" s="7" t="s">
        <v>30</v>
      </c>
      <c r="C10" s="7" t="s">
        <v>36</v>
      </c>
      <c r="D10" s="7" t="s">
        <v>34</v>
      </c>
      <c r="E10" s="8" t="n">
        <v>1428</v>
      </c>
    </row>
    <row r="11" customFormat="false" ht="15" hidden="false" customHeight="false" outlineLevel="0" collapsed="false">
      <c r="A11" s="7" t="n">
        <v>1010</v>
      </c>
      <c r="B11" s="7" t="s">
        <v>30</v>
      </c>
      <c r="C11" s="7" t="s">
        <v>37</v>
      </c>
      <c r="D11" s="7" t="s">
        <v>32</v>
      </c>
      <c r="E11" s="8" t="n">
        <v>3082</v>
      </c>
    </row>
    <row r="12" customFormat="false" ht="15" hidden="false" customHeight="false" outlineLevel="0" collapsed="false">
      <c r="A12" s="7" t="n">
        <v>1011</v>
      </c>
      <c r="B12" s="7" t="s">
        <v>30</v>
      </c>
      <c r="C12" s="7" t="s">
        <v>37</v>
      </c>
      <c r="D12" s="7" t="s">
        <v>33</v>
      </c>
      <c r="E12" s="8" t="n">
        <v>1958</v>
      </c>
    </row>
    <row r="13" customFormat="false" ht="15" hidden="false" customHeight="false" outlineLevel="0" collapsed="false">
      <c r="A13" s="7" t="n">
        <v>1012</v>
      </c>
      <c r="B13" s="7" t="s">
        <v>30</v>
      </c>
      <c r="C13" s="7" t="s">
        <v>37</v>
      </c>
      <c r="D13" s="7" t="s">
        <v>34</v>
      </c>
      <c r="E13" s="8" t="n">
        <v>1175</v>
      </c>
    </row>
    <row r="14" customFormat="false" ht="15" hidden="false" customHeight="false" outlineLevel="0" collapsed="false">
      <c r="A14" s="7" t="n">
        <v>1013</v>
      </c>
      <c r="B14" s="7" t="s">
        <v>30</v>
      </c>
      <c r="C14" s="7" t="s">
        <v>38</v>
      </c>
      <c r="D14" s="7" t="s">
        <v>32</v>
      </c>
      <c r="E14" s="8" t="n">
        <v>2097</v>
      </c>
    </row>
    <row r="15" customFormat="false" ht="15" hidden="false" customHeight="false" outlineLevel="0" collapsed="false">
      <c r="A15" s="7" t="n">
        <v>1014</v>
      </c>
      <c r="B15" s="7" t="s">
        <v>30</v>
      </c>
      <c r="C15" s="7" t="s">
        <v>38</v>
      </c>
      <c r="D15" s="7" t="s">
        <v>33</v>
      </c>
      <c r="E15" s="8" t="n">
        <v>1325</v>
      </c>
    </row>
    <row r="16" customFormat="false" ht="15" hidden="false" customHeight="false" outlineLevel="0" collapsed="false">
      <c r="A16" s="7" t="n">
        <v>1015</v>
      </c>
      <c r="B16" s="7" t="s">
        <v>30</v>
      </c>
      <c r="C16" s="7" t="s">
        <v>38</v>
      </c>
      <c r="D16" s="7" t="s">
        <v>34</v>
      </c>
      <c r="E16" s="8" t="n">
        <v>835</v>
      </c>
    </row>
    <row r="17" customFormat="false" ht="15" hidden="false" customHeight="false" outlineLevel="0" collapsed="false">
      <c r="A17" s="7" t="n">
        <v>1016</v>
      </c>
      <c r="B17" s="7" t="s">
        <v>39</v>
      </c>
      <c r="C17" s="7" t="s">
        <v>31</v>
      </c>
      <c r="D17" s="7" t="s">
        <v>32</v>
      </c>
      <c r="E17" s="8" t="n">
        <v>7800</v>
      </c>
    </row>
    <row r="18" customFormat="false" ht="15" hidden="false" customHeight="false" outlineLevel="0" collapsed="false">
      <c r="A18" s="7" t="n">
        <v>1017</v>
      </c>
      <c r="B18" s="7" t="s">
        <v>39</v>
      </c>
      <c r="C18" s="7" t="s">
        <v>31</v>
      </c>
      <c r="D18" s="7" t="s">
        <v>33</v>
      </c>
      <c r="E18" s="8" t="n">
        <v>4203</v>
      </c>
    </row>
    <row r="19" customFormat="false" ht="15" hidden="false" customHeight="false" outlineLevel="0" collapsed="false">
      <c r="A19" s="7" t="n">
        <v>1018</v>
      </c>
      <c r="B19" s="7" t="s">
        <v>39</v>
      </c>
      <c r="C19" s="7" t="s">
        <v>31</v>
      </c>
      <c r="D19" s="7" t="s">
        <v>34</v>
      </c>
      <c r="E19" s="8" t="n">
        <v>2583</v>
      </c>
    </row>
    <row r="20" customFormat="false" ht="15" hidden="false" customHeight="false" outlineLevel="0" collapsed="false">
      <c r="A20" s="7" t="n">
        <v>1019</v>
      </c>
      <c r="B20" s="7" t="s">
        <v>39</v>
      </c>
      <c r="C20" s="7" t="s">
        <v>35</v>
      </c>
      <c r="D20" s="7" t="s">
        <v>32</v>
      </c>
      <c r="E20" s="8" t="n">
        <v>6365</v>
      </c>
    </row>
    <row r="21" customFormat="false" ht="15" hidden="false" customHeight="false" outlineLevel="0" collapsed="false">
      <c r="A21" s="7" t="n">
        <v>1020</v>
      </c>
      <c r="B21" s="7" t="s">
        <v>39</v>
      </c>
      <c r="C21" s="7" t="s">
        <v>35</v>
      </c>
      <c r="D21" s="7" t="s">
        <v>33</v>
      </c>
      <c r="E21" s="8" t="n">
        <v>2958</v>
      </c>
    </row>
    <row r="22" customFormat="false" ht="15" hidden="false" customHeight="false" outlineLevel="0" collapsed="false">
      <c r="A22" s="7" t="n">
        <v>1021</v>
      </c>
      <c r="B22" s="7" t="s">
        <v>39</v>
      </c>
      <c r="C22" s="7" t="s">
        <v>35</v>
      </c>
      <c r="D22" s="7" t="s">
        <v>34</v>
      </c>
      <c r="E22" s="8" t="n">
        <v>2079</v>
      </c>
    </row>
    <row r="23" customFormat="false" ht="15" hidden="false" customHeight="false" outlineLevel="0" collapsed="false">
      <c r="A23" s="7" t="n">
        <v>1022</v>
      </c>
      <c r="B23" s="7" t="s">
        <v>39</v>
      </c>
      <c r="C23" s="7" t="s">
        <v>36</v>
      </c>
      <c r="D23" s="7" t="s">
        <v>32</v>
      </c>
      <c r="E23" s="8" t="n">
        <v>4738</v>
      </c>
    </row>
    <row r="24" customFormat="false" ht="15" hidden="false" customHeight="false" outlineLevel="0" collapsed="false">
      <c r="A24" s="7" t="n">
        <v>1023</v>
      </c>
      <c r="B24" s="7" t="s">
        <v>39</v>
      </c>
      <c r="C24" s="7" t="s">
        <v>36</v>
      </c>
      <c r="D24" s="7" t="s">
        <v>33</v>
      </c>
      <c r="E24" s="8" t="n">
        <v>2538</v>
      </c>
    </row>
    <row r="25" customFormat="false" ht="15" hidden="false" customHeight="false" outlineLevel="0" collapsed="false">
      <c r="A25" s="7" t="n">
        <v>1024</v>
      </c>
      <c r="B25" s="7" t="s">
        <v>39</v>
      </c>
      <c r="C25" s="7" t="s">
        <v>36</v>
      </c>
      <c r="D25" s="7" t="s">
        <v>34</v>
      </c>
      <c r="E25" s="8" t="n">
        <v>1311</v>
      </c>
    </row>
    <row r="26" customFormat="false" ht="15" hidden="false" customHeight="false" outlineLevel="0" collapsed="false">
      <c r="A26" s="7" t="n">
        <v>1025</v>
      </c>
      <c r="B26" s="7" t="s">
        <v>39</v>
      </c>
      <c r="C26" s="7" t="s">
        <v>37</v>
      </c>
      <c r="D26" s="7" t="s">
        <v>32</v>
      </c>
      <c r="E26" s="8" t="n">
        <v>4080</v>
      </c>
    </row>
    <row r="27" customFormat="false" ht="15" hidden="false" customHeight="false" outlineLevel="0" collapsed="false">
      <c r="A27" s="7" t="n">
        <v>1026</v>
      </c>
      <c r="B27" s="7" t="s">
        <v>39</v>
      </c>
      <c r="C27" s="7" t="s">
        <v>37</v>
      </c>
      <c r="D27" s="7" t="s">
        <v>33</v>
      </c>
      <c r="E27" s="8" t="n">
        <v>2034</v>
      </c>
    </row>
    <row r="28" customFormat="false" ht="15" hidden="false" customHeight="false" outlineLevel="0" collapsed="false">
      <c r="A28" s="7" t="n">
        <v>1027</v>
      </c>
      <c r="B28" s="7" t="s">
        <v>39</v>
      </c>
      <c r="C28" s="7" t="s">
        <v>37</v>
      </c>
      <c r="D28" s="7" t="s">
        <v>34</v>
      </c>
      <c r="E28" s="8" t="n">
        <v>1030</v>
      </c>
    </row>
    <row r="29" customFormat="false" ht="15" hidden="false" customHeight="false" outlineLevel="0" collapsed="false">
      <c r="A29" s="7" t="n">
        <v>1028</v>
      </c>
      <c r="B29" s="7" t="s">
        <v>39</v>
      </c>
      <c r="C29" s="7" t="s">
        <v>38</v>
      </c>
      <c r="D29" s="7" t="s">
        <v>32</v>
      </c>
      <c r="E29" s="8" t="n">
        <v>2148</v>
      </c>
    </row>
    <row r="30" customFormat="false" ht="15" hidden="false" customHeight="false" outlineLevel="0" collapsed="false">
      <c r="A30" s="7" t="n">
        <v>1029</v>
      </c>
      <c r="B30" s="7" t="s">
        <v>39</v>
      </c>
      <c r="C30" s="7" t="s">
        <v>38</v>
      </c>
      <c r="D30" s="7" t="s">
        <v>33</v>
      </c>
      <c r="E30" s="8" t="n">
        <v>1609</v>
      </c>
    </row>
    <row r="31" customFormat="false" ht="15" hidden="false" customHeight="false" outlineLevel="0" collapsed="false">
      <c r="A31" s="7" t="n">
        <v>1030</v>
      </c>
      <c r="B31" s="7" t="s">
        <v>39</v>
      </c>
      <c r="C31" s="7" t="s">
        <v>38</v>
      </c>
      <c r="D31" s="7" t="s">
        <v>34</v>
      </c>
      <c r="E31" s="8" t="n">
        <v>824</v>
      </c>
    </row>
    <row r="32" customFormat="false" ht="15" hidden="false" customHeight="false" outlineLevel="0" collapsed="false">
      <c r="A32" s="7" t="n">
        <v>1031</v>
      </c>
      <c r="B32" s="7" t="s">
        <v>40</v>
      </c>
      <c r="C32" s="7" t="s">
        <v>31</v>
      </c>
      <c r="D32" s="7" t="s">
        <v>32</v>
      </c>
      <c r="E32" s="8" t="n">
        <v>8405</v>
      </c>
    </row>
    <row r="33" customFormat="false" ht="15" hidden="false" customHeight="false" outlineLevel="0" collapsed="false">
      <c r="A33" s="7" t="n">
        <v>1032</v>
      </c>
      <c r="B33" s="7" t="s">
        <v>40</v>
      </c>
      <c r="C33" s="7" t="s">
        <v>31</v>
      </c>
      <c r="D33" s="7" t="s">
        <v>33</v>
      </c>
      <c r="E33" s="8" t="n">
        <v>4904</v>
      </c>
    </row>
    <row r="34" customFormat="false" ht="15" hidden="false" customHeight="false" outlineLevel="0" collapsed="false">
      <c r="A34" s="7" t="n">
        <v>1033</v>
      </c>
      <c r="B34" s="7" t="s">
        <v>40</v>
      </c>
      <c r="C34" s="7" t="s">
        <v>31</v>
      </c>
      <c r="D34" s="7" t="s">
        <v>34</v>
      </c>
      <c r="E34" s="8" t="n">
        <v>2543</v>
      </c>
    </row>
    <row r="35" customFormat="false" ht="15" hidden="false" customHeight="false" outlineLevel="0" collapsed="false">
      <c r="A35" s="7" t="n">
        <v>1034</v>
      </c>
      <c r="B35" s="7" t="s">
        <v>40</v>
      </c>
      <c r="C35" s="7" t="s">
        <v>35</v>
      </c>
      <c r="D35" s="7" t="s">
        <v>32</v>
      </c>
      <c r="E35" s="8" t="n">
        <v>6651</v>
      </c>
    </row>
    <row r="36" customFormat="false" ht="15" hidden="false" customHeight="false" outlineLevel="0" collapsed="false">
      <c r="A36" s="7" t="n">
        <v>1035</v>
      </c>
      <c r="B36" s="7" t="s">
        <v>40</v>
      </c>
      <c r="C36" s="7" t="s">
        <v>35</v>
      </c>
      <c r="D36" s="7" t="s">
        <v>33</v>
      </c>
      <c r="E36" s="8" t="n">
        <v>3345</v>
      </c>
    </row>
    <row r="37" customFormat="false" ht="15" hidden="false" customHeight="false" outlineLevel="0" collapsed="false">
      <c r="A37" s="7" t="n">
        <v>1036</v>
      </c>
      <c r="B37" s="7" t="s">
        <v>40</v>
      </c>
      <c r="C37" s="7" t="s">
        <v>35</v>
      </c>
      <c r="D37" s="7" t="s">
        <v>34</v>
      </c>
      <c r="E37" s="8" t="n">
        <v>1934</v>
      </c>
    </row>
    <row r="38" customFormat="false" ht="15" hidden="false" customHeight="false" outlineLevel="0" collapsed="false">
      <c r="A38" s="7" t="n">
        <v>1037</v>
      </c>
      <c r="B38" s="7" t="s">
        <v>40</v>
      </c>
      <c r="C38" s="7" t="s">
        <v>36</v>
      </c>
      <c r="D38" s="7" t="s">
        <v>32</v>
      </c>
      <c r="E38" s="8" t="n">
        <v>4914</v>
      </c>
    </row>
    <row r="39" customFormat="false" ht="15" hidden="false" customHeight="false" outlineLevel="0" collapsed="false">
      <c r="A39" s="7" t="n">
        <v>1038</v>
      </c>
      <c r="B39" s="7" t="s">
        <v>40</v>
      </c>
      <c r="C39" s="7" t="s">
        <v>36</v>
      </c>
      <c r="D39" s="7" t="s">
        <v>33</v>
      </c>
      <c r="E39" s="8" t="n">
        <v>2761</v>
      </c>
    </row>
    <row r="40" customFormat="false" ht="15" hidden="false" customHeight="false" outlineLevel="0" collapsed="false">
      <c r="A40" s="7" t="n">
        <v>1039</v>
      </c>
      <c r="B40" s="7" t="s">
        <v>40</v>
      </c>
      <c r="C40" s="7" t="s">
        <v>36</v>
      </c>
      <c r="D40" s="7" t="s">
        <v>34</v>
      </c>
      <c r="E40" s="8" t="n">
        <v>1621</v>
      </c>
    </row>
    <row r="41" customFormat="false" ht="15" hidden="false" customHeight="false" outlineLevel="0" collapsed="false">
      <c r="A41" s="7" t="n">
        <v>1040</v>
      </c>
      <c r="B41" s="7" t="s">
        <v>40</v>
      </c>
      <c r="C41" s="7" t="s">
        <v>37</v>
      </c>
      <c r="D41" s="7" t="s">
        <v>32</v>
      </c>
      <c r="E41" s="8" t="n">
        <v>3671</v>
      </c>
    </row>
    <row r="42" customFormat="false" ht="15" hidden="false" customHeight="false" outlineLevel="0" collapsed="false">
      <c r="A42" s="7" t="n">
        <v>1041</v>
      </c>
      <c r="B42" s="7" t="s">
        <v>40</v>
      </c>
      <c r="C42" s="7" t="s">
        <v>37</v>
      </c>
      <c r="D42" s="7" t="s">
        <v>33</v>
      </c>
      <c r="E42" s="8" t="n">
        <v>2270</v>
      </c>
    </row>
    <row r="43" customFormat="false" ht="15" hidden="false" customHeight="false" outlineLevel="0" collapsed="false">
      <c r="A43" s="7" t="n">
        <v>1042</v>
      </c>
      <c r="B43" s="7" t="s">
        <v>40</v>
      </c>
      <c r="C43" s="7" t="s">
        <v>37</v>
      </c>
      <c r="D43" s="7" t="s">
        <v>34</v>
      </c>
      <c r="E43" s="8" t="n">
        <v>1013</v>
      </c>
    </row>
    <row r="44" customFormat="false" ht="15" hidden="false" customHeight="false" outlineLevel="0" collapsed="false">
      <c r="A44" s="7" t="n">
        <v>1043</v>
      </c>
      <c r="B44" s="7" t="s">
        <v>40</v>
      </c>
      <c r="C44" s="7" t="s">
        <v>38</v>
      </c>
      <c r="D44" s="7" t="s">
        <v>32</v>
      </c>
      <c r="E44" s="8" t="n">
        <v>2244</v>
      </c>
    </row>
    <row r="45" customFormat="false" ht="15" hidden="false" customHeight="false" outlineLevel="0" collapsed="false">
      <c r="A45" s="7" t="n">
        <v>1044</v>
      </c>
      <c r="B45" s="7" t="s">
        <v>40</v>
      </c>
      <c r="C45" s="7" t="s">
        <v>38</v>
      </c>
      <c r="D45" s="7" t="s">
        <v>33</v>
      </c>
      <c r="E45" s="8" t="n">
        <v>1365</v>
      </c>
    </row>
    <row r="46" customFormat="false" ht="15" hidden="false" customHeight="false" outlineLevel="0" collapsed="false">
      <c r="A46" s="7" t="n">
        <v>1045</v>
      </c>
      <c r="B46" s="7" t="s">
        <v>40</v>
      </c>
      <c r="C46" s="7" t="s">
        <v>38</v>
      </c>
      <c r="D46" s="7" t="s">
        <v>34</v>
      </c>
      <c r="E46" s="8" t="n">
        <v>698</v>
      </c>
    </row>
    <row r="47" customFormat="false" ht="15" hidden="false" customHeight="false" outlineLevel="0" collapsed="false">
      <c r="A47" s="7" t="n">
        <v>1046</v>
      </c>
      <c r="B47" s="7" t="s">
        <v>41</v>
      </c>
      <c r="C47" s="7" t="s">
        <v>31</v>
      </c>
      <c r="D47" s="7" t="s">
        <v>32</v>
      </c>
      <c r="E47" s="8" t="n">
        <v>7079</v>
      </c>
    </row>
    <row r="48" customFormat="false" ht="15" hidden="false" customHeight="false" outlineLevel="0" collapsed="false">
      <c r="A48" s="7" t="n">
        <v>1047</v>
      </c>
      <c r="B48" s="7" t="s">
        <v>41</v>
      </c>
      <c r="C48" s="7" t="s">
        <v>31</v>
      </c>
      <c r="D48" s="7" t="s">
        <v>33</v>
      </c>
      <c r="E48" s="8" t="n">
        <v>4039</v>
      </c>
    </row>
    <row r="49" customFormat="false" ht="15" hidden="false" customHeight="false" outlineLevel="0" collapsed="false">
      <c r="A49" s="7" t="n">
        <v>1048</v>
      </c>
      <c r="B49" s="7" t="s">
        <v>41</v>
      </c>
      <c r="C49" s="7" t="s">
        <v>31</v>
      </c>
      <c r="D49" s="7" t="s">
        <v>34</v>
      </c>
      <c r="E49" s="8" t="n">
        <v>2348</v>
      </c>
    </row>
    <row r="50" customFormat="false" ht="15" hidden="false" customHeight="false" outlineLevel="0" collapsed="false">
      <c r="A50" s="7" t="n">
        <v>1049</v>
      </c>
      <c r="B50" s="7" t="s">
        <v>41</v>
      </c>
      <c r="C50" s="7" t="s">
        <v>35</v>
      </c>
      <c r="D50" s="7" t="s">
        <v>32</v>
      </c>
      <c r="E50" s="8" t="n">
        <v>6061</v>
      </c>
    </row>
    <row r="51" customFormat="false" ht="15" hidden="false" customHeight="false" outlineLevel="0" collapsed="false">
      <c r="A51" s="7" t="n">
        <v>1050</v>
      </c>
      <c r="B51" s="7" t="s">
        <v>41</v>
      </c>
      <c r="C51" s="7" t="s">
        <v>35</v>
      </c>
      <c r="D51" s="7" t="s">
        <v>33</v>
      </c>
      <c r="E51" s="8" t="n">
        <v>3331</v>
      </c>
    </row>
    <row r="52" customFormat="false" ht="15" hidden="false" customHeight="false" outlineLevel="0" collapsed="false">
      <c r="A52" s="7" t="n">
        <v>1051</v>
      </c>
      <c r="B52" s="7" t="s">
        <v>41</v>
      </c>
      <c r="C52" s="7" t="s">
        <v>35</v>
      </c>
      <c r="D52" s="7" t="s">
        <v>34</v>
      </c>
      <c r="E52" s="8" t="n">
        <v>1830</v>
      </c>
    </row>
    <row r="53" customFormat="false" ht="15" hidden="false" customHeight="false" outlineLevel="0" collapsed="false">
      <c r="A53" s="7" t="n">
        <v>1052</v>
      </c>
      <c r="B53" s="7" t="s">
        <v>41</v>
      </c>
      <c r="C53" s="7" t="s">
        <v>36</v>
      </c>
      <c r="D53" s="7" t="s">
        <v>32</v>
      </c>
      <c r="E53" s="8" t="n">
        <v>4082</v>
      </c>
    </row>
    <row r="54" customFormat="false" ht="15" hidden="false" customHeight="false" outlineLevel="0" collapsed="false">
      <c r="A54" s="7" t="n">
        <v>1053</v>
      </c>
      <c r="B54" s="7" t="s">
        <v>41</v>
      </c>
      <c r="C54" s="7" t="s">
        <v>36</v>
      </c>
      <c r="D54" s="7" t="s">
        <v>33</v>
      </c>
      <c r="E54" s="8" t="n">
        <v>2480</v>
      </c>
    </row>
    <row r="55" customFormat="false" ht="15" hidden="false" customHeight="false" outlineLevel="0" collapsed="false">
      <c r="A55" s="7" t="n">
        <v>1054</v>
      </c>
      <c r="B55" s="7" t="s">
        <v>41</v>
      </c>
      <c r="C55" s="7" t="s">
        <v>36</v>
      </c>
      <c r="D55" s="7" t="s">
        <v>34</v>
      </c>
      <c r="E55" s="8" t="n">
        <v>1654</v>
      </c>
    </row>
    <row r="56" customFormat="false" ht="15" hidden="false" customHeight="false" outlineLevel="0" collapsed="false">
      <c r="A56" s="7" t="n">
        <v>1055</v>
      </c>
      <c r="B56" s="7" t="s">
        <v>41</v>
      </c>
      <c r="C56" s="7" t="s">
        <v>37</v>
      </c>
      <c r="D56" s="7" t="s">
        <v>32</v>
      </c>
      <c r="E56" s="8" t="n">
        <v>3747</v>
      </c>
    </row>
    <row r="57" customFormat="false" ht="15" hidden="false" customHeight="false" outlineLevel="0" collapsed="false">
      <c r="A57" s="7" t="n">
        <v>1056</v>
      </c>
      <c r="B57" s="7" t="s">
        <v>41</v>
      </c>
      <c r="C57" s="7" t="s">
        <v>37</v>
      </c>
      <c r="D57" s="7" t="s">
        <v>33</v>
      </c>
      <c r="E57" s="8" t="n">
        <v>2209</v>
      </c>
    </row>
    <row r="58" customFormat="false" ht="15" hidden="false" customHeight="false" outlineLevel="0" collapsed="false">
      <c r="A58" s="7" t="n">
        <v>1057</v>
      </c>
      <c r="B58" s="7" t="s">
        <v>41</v>
      </c>
      <c r="C58" s="7" t="s">
        <v>37</v>
      </c>
      <c r="D58" s="7" t="s">
        <v>34</v>
      </c>
      <c r="E58" s="8" t="n">
        <v>1057</v>
      </c>
    </row>
    <row r="59" customFormat="false" ht="15" hidden="false" customHeight="false" outlineLevel="0" collapsed="false">
      <c r="A59" s="7" t="n">
        <v>1058</v>
      </c>
      <c r="B59" s="7" t="s">
        <v>41</v>
      </c>
      <c r="C59" s="7" t="s">
        <v>38</v>
      </c>
      <c r="D59" s="7" t="s">
        <v>32</v>
      </c>
      <c r="E59" s="8" t="n">
        <v>2612</v>
      </c>
    </row>
    <row r="60" customFormat="false" ht="15" hidden="false" customHeight="false" outlineLevel="0" collapsed="false">
      <c r="A60" s="7" t="n">
        <v>1059</v>
      </c>
      <c r="B60" s="7" t="s">
        <v>41</v>
      </c>
      <c r="C60" s="7" t="s">
        <v>38</v>
      </c>
      <c r="D60" s="7" t="s">
        <v>33</v>
      </c>
      <c r="E60" s="8" t="n">
        <v>1310</v>
      </c>
    </row>
    <row r="61" customFormat="false" ht="15" hidden="false" customHeight="false" outlineLevel="0" collapsed="false">
      <c r="A61" s="7" t="n">
        <v>1060</v>
      </c>
      <c r="B61" s="7" t="s">
        <v>41</v>
      </c>
      <c r="C61" s="7" t="s">
        <v>38</v>
      </c>
      <c r="D61" s="7" t="s">
        <v>34</v>
      </c>
      <c r="E61" s="8" t="n">
        <v>770</v>
      </c>
    </row>
    <row r="62" customFormat="false" ht="15" hidden="false" customHeight="false" outlineLevel="0" collapsed="false">
      <c r="A62" s="7" t="n">
        <v>1061</v>
      </c>
      <c r="B62" s="7" t="s">
        <v>42</v>
      </c>
      <c r="C62" s="7" t="s">
        <v>31</v>
      </c>
      <c r="D62" s="7" t="s">
        <v>32</v>
      </c>
      <c r="E62" s="8" t="n">
        <v>8826</v>
      </c>
    </row>
    <row r="63" customFormat="false" ht="15" hidden="false" customHeight="false" outlineLevel="0" collapsed="false">
      <c r="A63" s="7" t="n">
        <v>1062</v>
      </c>
      <c r="B63" s="7" t="s">
        <v>42</v>
      </c>
      <c r="C63" s="7" t="s">
        <v>31</v>
      </c>
      <c r="D63" s="7" t="s">
        <v>33</v>
      </c>
      <c r="E63" s="8" t="n">
        <v>4781</v>
      </c>
    </row>
    <row r="64" customFormat="false" ht="15" hidden="false" customHeight="false" outlineLevel="0" collapsed="false">
      <c r="A64" s="7" t="n">
        <v>1063</v>
      </c>
      <c r="B64" s="7" t="s">
        <v>42</v>
      </c>
      <c r="C64" s="7" t="s">
        <v>31</v>
      </c>
      <c r="D64" s="7" t="s">
        <v>34</v>
      </c>
      <c r="E64" s="8" t="n">
        <v>2559</v>
      </c>
    </row>
    <row r="65" customFormat="false" ht="15" hidden="false" customHeight="false" outlineLevel="0" collapsed="false">
      <c r="A65" s="7" t="n">
        <v>1064</v>
      </c>
      <c r="B65" s="7" t="s">
        <v>42</v>
      </c>
      <c r="C65" s="7" t="s">
        <v>35</v>
      </c>
      <c r="D65" s="7" t="s">
        <v>32</v>
      </c>
      <c r="E65" s="8" t="n">
        <v>6147</v>
      </c>
    </row>
    <row r="66" customFormat="false" ht="15" hidden="false" customHeight="false" outlineLevel="0" collapsed="false">
      <c r="A66" s="7" t="n">
        <v>1065</v>
      </c>
      <c r="B66" s="7" t="s">
        <v>42</v>
      </c>
      <c r="C66" s="7" t="s">
        <v>35</v>
      </c>
      <c r="D66" s="7" t="s">
        <v>33</v>
      </c>
      <c r="E66" s="8" t="n">
        <v>3829</v>
      </c>
    </row>
    <row r="67" customFormat="false" ht="15" hidden="false" customHeight="false" outlineLevel="0" collapsed="false">
      <c r="A67" s="7" t="n">
        <v>1066</v>
      </c>
      <c r="B67" s="7" t="s">
        <v>42</v>
      </c>
      <c r="C67" s="7" t="s">
        <v>35</v>
      </c>
      <c r="D67" s="7" t="s">
        <v>34</v>
      </c>
      <c r="E67" s="8" t="n">
        <v>2062</v>
      </c>
    </row>
    <row r="68" customFormat="false" ht="15" hidden="false" customHeight="false" outlineLevel="0" collapsed="false">
      <c r="A68" s="7" t="n">
        <v>1067</v>
      </c>
      <c r="B68" s="7" t="s">
        <v>42</v>
      </c>
      <c r="C68" s="7" t="s">
        <v>36</v>
      </c>
      <c r="D68" s="7" t="s">
        <v>32</v>
      </c>
      <c r="E68" s="8" t="n">
        <v>4108</v>
      </c>
    </row>
    <row r="69" customFormat="false" ht="15" hidden="false" customHeight="false" outlineLevel="0" collapsed="false">
      <c r="A69" s="7" t="n">
        <v>1068</v>
      </c>
      <c r="B69" s="7" t="s">
        <v>42</v>
      </c>
      <c r="C69" s="7" t="s">
        <v>36</v>
      </c>
      <c r="D69" s="7" t="s">
        <v>33</v>
      </c>
      <c r="E69" s="8" t="n">
        <v>2292</v>
      </c>
    </row>
    <row r="70" customFormat="false" ht="15" hidden="false" customHeight="false" outlineLevel="0" collapsed="false">
      <c r="A70" s="7" t="n">
        <v>1069</v>
      </c>
      <c r="B70" s="7" t="s">
        <v>42</v>
      </c>
      <c r="C70" s="7" t="s">
        <v>36</v>
      </c>
      <c r="D70" s="7" t="s">
        <v>34</v>
      </c>
      <c r="E70" s="8" t="n">
        <v>1381</v>
      </c>
    </row>
    <row r="71" customFormat="false" ht="15" hidden="false" customHeight="false" outlineLevel="0" collapsed="false">
      <c r="A71" s="7" t="n">
        <v>1070</v>
      </c>
      <c r="B71" s="7" t="s">
        <v>42</v>
      </c>
      <c r="C71" s="7" t="s">
        <v>37</v>
      </c>
      <c r="D71" s="7" t="s">
        <v>32</v>
      </c>
      <c r="E71" s="8" t="n">
        <v>3338</v>
      </c>
    </row>
    <row r="72" customFormat="false" ht="15" hidden="false" customHeight="false" outlineLevel="0" collapsed="false">
      <c r="A72" s="7" t="n">
        <v>1071</v>
      </c>
      <c r="B72" s="7" t="s">
        <v>42</v>
      </c>
      <c r="C72" s="7" t="s">
        <v>37</v>
      </c>
      <c r="D72" s="7" t="s">
        <v>33</v>
      </c>
      <c r="E72" s="8" t="n">
        <v>1954</v>
      </c>
    </row>
    <row r="73" customFormat="false" ht="15" hidden="false" customHeight="false" outlineLevel="0" collapsed="false">
      <c r="A73" s="7" t="n">
        <v>1072</v>
      </c>
      <c r="B73" s="7" t="s">
        <v>42</v>
      </c>
      <c r="C73" s="7" t="s">
        <v>37</v>
      </c>
      <c r="D73" s="7" t="s">
        <v>34</v>
      </c>
      <c r="E73" s="8" t="n">
        <v>1329</v>
      </c>
    </row>
    <row r="74" customFormat="false" ht="15" hidden="false" customHeight="false" outlineLevel="0" collapsed="false">
      <c r="A74" s="7" t="n">
        <v>1073</v>
      </c>
      <c r="B74" s="7" t="s">
        <v>42</v>
      </c>
      <c r="C74" s="7" t="s">
        <v>38</v>
      </c>
      <c r="D74" s="7" t="s">
        <v>32</v>
      </c>
      <c r="E74" s="8" t="n">
        <v>2720</v>
      </c>
    </row>
    <row r="75" customFormat="false" ht="15" hidden="false" customHeight="false" outlineLevel="0" collapsed="false">
      <c r="A75" s="7" t="n">
        <v>1074</v>
      </c>
      <c r="B75" s="7" t="s">
        <v>42</v>
      </c>
      <c r="C75" s="7" t="s">
        <v>38</v>
      </c>
      <c r="D75" s="7" t="s">
        <v>33</v>
      </c>
      <c r="E75" s="8" t="n">
        <v>1376</v>
      </c>
    </row>
    <row r="76" customFormat="false" ht="15" hidden="false" customHeight="false" outlineLevel="0" collapsed="false">
      <c r="A76" s="7" t="n">
        <v>1075</v>
      </c>
      <c r="B76" s="7" t="s">
        <v>42</v>
      </c>
      <c r="C76" s="7" t="s">
        <v>38</v>
      </c>
      <c r="D76" s="7" t="s">
        <v>34</v>
      </c>
      <c r="E76" s="8" t="n">
        <v>836</v>
      </c>
    </row>
    <row r="77" customFormat="false" ht="15" hidden="false" customHeight="false" outlineLevel="0" collapsed="false">
      <c r="A77" s="7" t="n">
        <v>1076</v>
      </c>
      <c r="B77" s="7" t="s">
        <v>43</v>
      </c>
      <c r="C77" s="7" t="s">
        <v>31</v>
      </c>
      <c r="D77" s="7" t="s">
        <v>32</v>
      </c>
      <c r="E77" s="8" t="n">
        <v>7455</v>
      </c>
    </row>
    <row r="78" customFormat="false" ht="15" hidden="false" customHeight="false" outlineLevel="0" collapsed="false">
      <c r="A78" s="7" t="n">
        <v>1077</v>
      </c>
      <c r="B78" s="7" t="s">
        <v>43</v>
      </c>
      <c r="C78" s="7" t="s">
        <v>31</v>
      </c>
      <c r="D78" s="7" t="s">
        <v>33</v>
      </c>
      <c r="E78" s="8" t="n">
        <v>5159</v>
      </c>
    </row>
    <row r="79" customFormat="false" ht="15" hidden="false" customHeight="false" outlineLevel="0" collapsed="false">
      <c r="A79" s="7" t="n">
        <v>1078</v>
      </c>
      <c r="B79" s="7" t="s">
        <v>43</v>
      </c>
      <c r="C79" s="7" t="s">
        <v>31</v>
      </c>
      <c r="D79" s="7" t="s">
        <v>34</v>
      </c>
      <c r="E79" s="8" t="n">
        <v>2485</v>
      </c>
    </row>
    <row r="80" customFormat="false" ht="15" hidden="false" customHeight="false" outlineLevel="0" collapsed="false">
      <c r="A80" s="7" t="n">
        <v>1079</v>
      </c>
      <c r="B80" s="7" t="s">
        <v>43</v>
      </c>
      <c r="C80" s="7" t="s">
        <v>35</v>
      </c>
      <c r="D80" s="7" t="s">
        <v>32</v>
      </c>
      <c r="E80" s="8" t="n">
        <v>5413</v>
      </c>
    </row>
    <row r="81" customFormat="false" ht="15" hidden="false" customHeight="false" outlineLevel="0" collapsed="false">
      <c r="A81" s="7" t="n">
        <v>1080</v>
      </c>
      <c r="B81" s="7" t="s">
        <v>43</v>
      </c>
      <c r="C81" s="7" t="s">
        <v>35</v>
      </c>
      <c r="D81" s="7" t="s">
        <v>33</v>
      </c>
      <c r="E81" s="8" t="n">
        <v>3208</v>
      </c>
    </row>
    <row r="82" customFormat="false" ht="15" hidden="false" customHeight="false" outlineLevel="0" collapsed="false">
      <c r="A82" s="7" t="n">
        <v>1081</v>
      </c>
      <c r="B82" s="7" t="s">
        <v>43</v>
      </c>
      <c r="C82" s="7" t="s">
        <v>35</v>
      </c>
      <c r="D82" s="7" t="s">
        <v>34</v>
      </c>
      <c r="E82" s="8" t="n">
        <v>1939</v>
      </c>
    </row>
    <row r="83" customFormat="false" ht="15" hidden="false" customHeight="false" outlineLevel="0" collapsed="false">
      <c r="A83" s="7" t="n">
        <v>1082</v>
      </c>
      <c r="B83" s="7" t="s">
        <v>43</v>
      </c>
      <c r="C83" s="7" t="s">
        <v>36</v>
      </c>
      <c r="D83" s="7" t="s">
        <v>32</v>
      </c>
      <c r="E83" s="8" t="n">
        <v>4154</v>
      </c>
    </row>
    <row r="84" customFormat="false" ht="15" hidden="false" customHeight="false" outlineLevel="0" collapsed="false">
      <c r="A84" s="7" t="n">
        <v>1083</v>
      </c>
      <c r="B84" s="7" t="s">
        <v>43</v>
      </c>
      <c r="C84" s="7" t="s">
        <v>36</v>
      </c>
      <c r="D84" s="7" t="s">
        <v>33</v>
      </c>
      <c r="E84" s="8" t="n">
        <v>2734</v>
      </c>
    </row>
    <row r="85" customFormat="false" ht="15" hidden="false" customHeight="false" outlineLevel="0" collapsed="false">
      <c r="A85" s="7" t="n">
        <v>1084</v>
      </c>
      <c r="B85" s="7" t="s">
        <v>43</v>
      </c>
      <c r="C85" s="7" t="s">
        <v>36</v>
      </c>
      <c r="D85" s="7" t="s">
        <v>34</v>
      </c>
      <c r="E85" s="8" t="n">
        <v>1636</v>
      </c>
    </row>
    <row r="86" customFormat="false" ht="15" hidden="false" customHeight="false" outlineLevel="0" collapsed="false">
      <c r="A86" s="7" t="n">
        <v>1085</v>
      </c>
      <c r="B86" s="7" t="s">
        <v>43</v>
      </c>
      <c r="C86" s="7" t="s">
        <v>37</v>
      </c>
      <c r="D86" s="7" t="s">
        <v>32</v>
      </c>
      <c r="E86" s="8" t="n">
        <v>3480</v>
      </c>
    </row>
    <row r="87" customFormat="false" ht="15" hidden="false" customHeight="false" outlineLevel="0" collapsed="false">
      <c r="A87" s="7" t="n">
        <v>1086</v>
      </c>
      <c r="B87" s="7" t="s">
        <v>43</v>
      </c>
      <c r="C87" s="7" t="s">
        <v>37</v>
      </c>
      <c r="D87" s="7" t="s">
        <v>33</v>
      </c>
      <c r="E87" s="8" t="n">
        <v>1959</v>
      </c>
    </row>
    <row r="88" customFormat="false" ht="15" hidden="false" customHeight="false" outlineLevel="0" collapsed="false">
      <c r="A88" s="7" t="n">
        <v>1087</v>
      </c>
      <c r="B88" s="7" t="s">
        <v>43</v>
      </c>
      <c r="C88" s="7" t="s">
        <v>37</v>
      </c>
      <c r="D88" s="7" t="s">
        <v>34</v>
      </c>
      <c r="E88" s="8" t="n">
        <v>1348</v>
      </c>
    </row>
    <row r="89" customFormat="false" ht="15" hidden="false" customHeight="false" outlineLevel="0" collapsed="false">
      <c r="A89" s="7" t="n">
        <v>1088</v>
      </c>
      <c r="B89" s="7" t="s">
        <v>43</v>
      </c>
      <c r="C89" s="7" t="s">
        <v>38</v>
      </c>
      <c r="D89" s="7" t="s">
        <v>32</v>
      </c>
      <c r="E89" s="8" t="n">
        <v>2451</v>
      </c>
    </row>
    <row r="90" customFormat="false" ht="15" hidden="false" customHeight="false" outlineLevel="0" collapsed="false">
      <c r="A90" s="7" t="n">
        <v>1089</v>
      </c>
      <c r="B90" s="7" t="s">
        <v>43</v>
      </c>
      <c r="C90" s="7" t="s">
        <v>38</v>
      </c>
      <c r="D90" s="7" t="s">
        <v>33</v>
      </c>
      <c r="E90" s="8" t="n">
        <v>1278</v>
      </c>
    </row>
    <row r="91" customFormat="false" ht="15" hidden="false" customHeight="false" outlineLevel="0" collapsed="false">
      <c r="A91" s="7" t="n">
        <v>1090</v>
      </c>
      <c r="B91" s="7" t="s">
        <v>43</v>
      </c>
      <c r="C91" s="7" t="s">
        <v>38</v>
      </c>
      <c r="D91" s="7" t="s">
        <v>34</v>
      </c>
      <c r="E91" s="8" t="n">
        <v>690</v>
      </c>
    </row>
    <row r="93" customFormat="false" ht="15" hidden="false" customHeight="false" outlineLevel="0" collapsed="false">
      <c r="A93" s="5" t="s">
        <v>44</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G9"/>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18"/>
    <col collapsed="false" customWidth="true" hidden="false" outlineLevel="0" max="3" min="2" style="0" width="14"/>
    <col collapsed="false" customWidth="true" hidden="false" outlineLevel="0" max="5" min="5" style="0" width="8"/>
    <col collapsed="false" customWidth="true" hidden="false" outlineLevel="0" max="6" min="6" style="0" width="18"/>
    <col collapsed="false" customWidth="true" hidden="false" outlineLevel="0" max="7" min="7" style="0" width="14"/>
  </cols>
  <sheetData>
    <row r="1" customFormat="false" ht="17.35" hidden="false" customHeight="false" outlineLevel="0" collapsed="false">
      <c r="A1" s="1" t="s">
        <v>12</v>
      </c>
    </row>
    <row r="2" customFormat="false" ht="15" hidden="false" customHeight="false" outlineLevel="0" collapsed="false">
      <c r="E2" s="5" t="s">
        <v>45</v>
      </c>
    </row>
    <row r="3" customFormat="false" ht="15" hidden="false" customHeight="false" outlineLevel="0" collapsed="false">
      <c r="A3" s="6" t="s">
        <v>27</v>
      </c>
      <c r="B3" s="6" t="s">
        <v>29</v>
      </c>
      <c r="C3" s="6" t="s">
        <v>46</v>
      </c>
      <c r="E3" s="6" t="s">
        <v>47</v>
      </c>
      <c r="F3" s="6" t="s">
        <v>27</v>
      </c>
      <c r="G3" s="6" t="s">
        <v>29</v>
      </c>
    </row>
    <row r="4" customFormat="false" ht="15" hidden="false" customHeight="false" outlineLevel="0" collapsed="false">
      <c r="A4" s="7" t="s">
        <v>31</v>
      </c>
      <c r="B4" s="9" t="n">
        <f aca="false">SUMIFS(Source_Data!$E$2:$E$91,Source_Data!$C$2:$C$91,A4)</f>
        <v>89467</v>
      </c>
      <c r="C4" s="10" t="n">
        <f aca="false">B4/$B$9</f>
        <v>0.323253965386422</v>
      </c>
      <c r="E4" s="7" t="n">
        <v>5</v>
      </c>
      <c r="F4" s="7" t="str">
        <f aca="false">INDEX($A$4:$A$8,MATCH(G4,$B$4:$B$8,0))</f>
        <v>Accessories</v>
      </c>
      <c r="G4" s="9" t="n">
        <f aca="false">SMALL($B$4:$B$8,1)</f>
        <v>27188</v>
      </c>
    </row>
    <row r="5" customFormat="false" ht="15" hidden="false" customHeight="false" outlineLevel="0" collapsed="false">
      <c r="A5" s="7" t="s">
        <v>35</v>
      </c>
      <c r="B5" s="9" t="n">
        <f aca="false">SUMIFS(Source_Data!$E$2:$E$91,Source_Data!$C$2:$C$91,A5)</f>
        <v>68215</v>
      </c>
      <c r="C5" s="10" t="n">
        <f aca="false">B5/$B$9</f>
        <v>0.246468186580916</v>
      </c>
      <c r="E5" s="7" t="n">
        <v>4</v>
      </c>
      <c r="F5" s="7" t="str">
        <f aca="false">INDEX($A$4:$A$8,MATCH(G5,$B$4:$B$8,0))</f>
        <v>Clothing</v>
      </c>
      <c r="G5" s="9" t="n">
        <f aca="false">SMALL($B$4:$B$8,2)</f>
        <v>40734</v>
      </c>
    </row>
    <row r="6" customFormat="false" ht="15" hidden="false" customHeight="false" outlineLevel="0" collapsed="false">
      <c r="A6" s="7" t="s">
        <v>36</v>
      </c>
      <c r="B6" s="9" t="n">
        <f aca="false">SUMIFS(Source_Data!$E$2:$E$91,Source_Data!$C$2:$C$91,A6)</f>
        <v>51166</v>
      </c>
      <c r="C6" s="10" t="n">
        <f aca="false">B6/$B$9</f>
        <v>0.184868302200383</v>
      </c>
      <c r="E6" s="7" t="n">
        <v>3</v>
      </c>
      <c r="F6" s="7" t="str">
        <f aca="false">INDEX($A$4:$A$8,MATCH(G6,$B$4:$B$8,0))</f>
        <v>Office Supplies</v>
      </c>
      <c r="G6" s="9" t="n">
        <f aca="false">SMALL($B$4:$B$8,3)</f>
        <v>51166</v>
      </c>
    </row>
    <row r="7" customFormat="false" ht="15" hidden="false" customHeight="false" outlineLevel="0" collapsed="false">
      <c r="A7" s="7" t="s">
        <v>37</v>
      </c>
      <c r="B7" s="9" t="n">
        <f aca="false">SUMIFS(Source_Data!$E$2:$E$91,Source_Data!$C$2:$C$91,A7)</f>
        <v>40734</v>
      </c>
      <c r="C7" s="10" t="n">
        <f aca="false">B7/$B$9</f>
        <v>0.147176355818911</v>
      </c>
      <c r="E7" s="7" t="n">
        <v>2</v>
      </c>
      <c r="F7" s="7" t="str">
        <f aca="false">INDEX($A$4:$A$8,MATCH(G7,$B$4:$B$8,0))</f>
        <v>Furniture</v>
      </c>
      <c r="G7" s="9" t="n">
        <f aca="false">SMALL($B$4:$B$8,4)</f>
        <v>68215</v>
      </c>
    </row>
    <row r="8" customFormat="false" ht="15" hidden="false" customHeight="false" outlineLevel="0" collapsed="false">
      <c r="A8" s="7" t="s">
        <v>38</v>
      </c>
      <c r="B8" s="9" t="n">
        <f aca="false">SUMIFS(Source_Data!$E$2:$E$91,Source_Data!$C$2:$C$91,A8)</f>
        <v>27188</v>
      </c>
      <c r="C8" s="10" t="n">
        <f aca="false">B8/$B$9</f>
        <v>0.0982331900133685</v>
      </c>
      <c r="E8" s="7" t="n">
        <v>1</v>
      </c>
      <c r="F8" s="7" t="str">
        <f aca="false">INDEX($A$4:$A$8,MATCH(G8,$B$4:$B$8,0))</f>
        <v>Electronics</v>
      </c>
      <c r="G8" s="9" t="n">
        <f aca="false">SMALL($B$4:$B$8,5)</f>
        <v>89467</v>
      </c>
    </row>
    <row r="9" customFormat="false" ht="15" hidden="false" customHeight="false" outlineLevel="0" collapsed="false">
      <c r="A9" s="11" t="s">
        <v>48</v>
      </c>
      <c r="B9" s="12" t="n">
        <f aca="false">SUM(B4:B8)</f>
        <v>276770</v>
      </c>
      <c r="C9" s="13" t="n">
        <f aca="false">SUM(C4:C8)</f>
        <v>1</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H7"/>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16"/>
    <col collapsed="false" customWidth="true" hidden="false" outlineLevel="0" max="3" min="2" style="0" width="14"/>
    <col collapsed="false" customWidth="true" hidden="false" outlineLevel="0" max="4" min="4" style="0" width="3"/>
    <col collapsed="false" customWidth="true" hidden="false" outlineLevel="0" max="5" min="5" style="0" width="8"/>
    <col collapsed="false" customWidth="true" hidden="false" outlineLevel="0" max="6" min="6" style="0" width="16"/>
    <col collapsed="false" customWidth="true" hidden="false" outlineLevel="0" max="7" min="7" style="0" width="14"/>
    <col collapsed="false" customWidth="true" hidden="false" outlineLevel="0" max="8" min="8" style="0" width="10"/>
  </cols>
  <sheetData>
    <row r="1" customFormat="false" ht="17.35" hidden="false" customHeight="false" outlineLevel="0" collapsed="false">
      <c r="A1" s="1" t="s">
        <v>14</v>
      </c>
    </row>
    <row r="2" customFormat="false" ht="15" hidden="false" customHeight="false" outlineLevel="0" collapsed="false">
      <c r="E2" s="5" t="s">
        <v>49</v>
      </c>
    </row>
    <row r="3" customFormat="false" ht="15" hidden="false" customHeight="false" outlineLevel="0" collapsed="false">
      <c r="A3" s="6" t="s">
        <v>28</v>
      </c>
      <c r="B3" s="6" t="s">
        <v>29</v>
      </c>
      <c r="C3" s="6" t="s">
        <v>46</v>
      </c>
      <c r="E3" s="6" t="s">
        <v>47</v>
      </c>
      <c r="F3" s="6" t="s">
        <v>28</v>
      </c>
      <c r="G3" s="6" t="s">
        <v>29</v>
      </c>
      <c r="H3" s="6" t="s">
        <v>50</v>
      </c>
    </row>
    <row r="4" customFormat="false" ht="15" hidden="false" customHeight="false" outlineLevel="0" collapsed="false">
      <c r="A4" s="7" t="s">
        <v>32</v>
      </c>
      <c r="B4" s="9" t="n">
        <f aca="false">SUMIFS(Source_Data!$E$2:$E$91,Source_Data!$D$2:$D$91,A4)</f>
        <v>146224</v>
      </c>
      <c r="C4" s="10" t="n">
        <f aca="false">B4/$B$7</f>
        <v>0.528323156411461</v>
      </c>
      <c r="E4" s="7" t="n">
        <v>1</v>
      </c>
      <c r="F4" s="7" t="str">
        <f aca="false">INDEX($A$4:$A$6,MATCH(G4,$B$4:$B$6,0))</f>
        <v>Online</v>
      </c>
      <c r="G4" s="9" t="n">
        <f aca="false">LARGE($B$4:$B$6,1)</f>
        <v>146224</v>
      </c>
      <c r="H4" s="10" t="n">
        <f aca="false">G4/$B$7</f>
        <v>0.528323156411461</v>
      </c>
    </row>
    <row r="5" customFormat="false" ht="15" hidden="false" customHeight="false" outlineLevel="0" collapsed="false">
      <c r="A5" s="7" t="s">
        <v>33</v>
      </c>
      <c r="B5" s="9" t="n">
        <f aca="false">SUMIFS(Source_Data!$E$2:$E$91,Source_Data!$D$2:$D$91,A5)</f>
        <v>83197</v>
      </c>
      <c r="C5" s="10" t="n">
        <f aca="false">B5/$B$7</f>
        <v>0.300599775987282</v>
      </c>
      <c r="E5" s="7" t="n">
        <v>2</v>
      </c>
      <c r="F5" s="7" t="str">
        <f aca="false">INDEX($A$4:$A$6,MATCH(G5,$B$4:$B$6,0))</f>
        <v>Retail Store</v>
      </c>
      <c r="G5" s="9" t="n">
        <f aca="false">LARGE($B$4:$B$6,2)</f>
        <v>83197</v>
      </c>
      <c r="H5" s="10" t="n">
        <f aca="false">G5/$B$7</f>
        <v>0.300599775987282</v>
      </c>
    </row>
    <row r="6" customFormat="false" ht="15" hidden="false" customHeight="false" outlineLevel="0" collapsed="false">
      <c r="A6" s="7" t="s">
        <v>34</v>
      </c>
      <c r="B6" s="9" t="n">
        <f aca="false">SUMIFS(Source_Data!$E$2:$E$91,Source_Data!$D$2:$D$91,A6)</f>
        <v>47349</v>
      </c>
      <c r="C6" s="10" t="n">
        <f aca="false">B6/$B$7</f>
        <v>0.171077067601257</v>
      </c>
      <c r="E6" s="7" t="n">
        <v>3</v>
      </c>
      <c r="F6" s="7" t="str">
        <f aca="false">INDEX($A$4:$A$6,MATCH(G6,$B$4:$B$6,0))</f>
        <v>Wholesale</v>
      </c>
      <c r="G6" s="9" t="n">
        <f aca="false">LARGE($B$4:$B$6,3)</f>
        <v>47349</v>
      </c>
      <c r="H6" s="10" t="n">
        <f aca="false">G6/$B$7</f>
        <v>0.171077067601257</v>
      </c>
    </row>
    <row r="7" customFormat="false" ht="15" hidden="false" customHeight="false" outlineLevel="0" collapsed="false">
      <c r="A7" s="11" t="s">
        <v>48</v>
      </c>
      <c r="B7" s="12" t="n">
        <f aca="false">SUM(B4:B6)</f>
        <v>276770</v>
      </c>
      <c r="C7" s="13" t="n">
        <f aca="false">SUM(C4:C6)</f>
        <v>1</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A2"/>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sheetData>
    <row r="1" customFormat="false" ht="17.35" hidden="false" customHeight="false" outlineLevel="0" collapsed="false">
      <c r="A1" s="1" t="s">
        <v>51</v>
      </c>
    </row>
    <row r="2" customFormat="false" ht="15" hidden="false" customHeight="false" outlineLevel="0" collapsed="false">
      <c r="A2" s="5" t="s">
        <v>52</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A2"/>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sheetData>
    <row r="1" customFormat="false" ht="17.35" hidden="false" customHeight="false" outlineLevel="0" collapsed="false">
      <c r="A1" s="1" t="s">
        <v>53</v>
      </c>
    </row>
    <row r="2" customFormat="false" ht="15" hidden="false" customHeight="false" outlineLevel="0" collapsed="false">
      <c r="A2" s="5" t="s">
        <v>54</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L30"/>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sheetData>
    <row r="1" customFormat="false" ht="17.35" hidden="false" customHeight="false" outlineLevel="0" collapsed="false">
      <c r="A1" s="1" t="s">
        <v>55</v>
      </c>
    </row>
    <row r="3" customFormat="false" ht="15" hidden="false" customHeight="false" outlineLevel="0" collapsed="false">
      <c r="A3" s="14" t="s">
        <v>56</v>
      </c>
    </row>
    <row r="23" customFormat="false" ht="15" hidden="false" customHeight="false" outlineLevel="0" collapsed="false">
      <c r="A23" s="2" t="s">
        <v>57</v>
      </c>
    </row>
    <row r="24" customFormat="false" ht="30" hidden="false" customHeight="true" outlineLevel="0" collapsed="false">
      <c r="A24" s="15" t="s">
        <v>58</v>
      </c>
      <c r="B24" s="15"/>
      <c r="C24" s="15"/>
      <c r="D24" s="15"/>
      <c r="E24" s="15"/>
      <c r="F24" s="15"/>
      <c r="G24" s="15"/>
      <c r="H24" s="15"/>
      <c r="I24" s="15"/>
      <c r="J24" s="15"/>
      <c r="K24" s="15"/>
      <c r="L24" s="15"/>
    </row>
    <row r="25" customFormat="false" ht="30" hidden="false" customHeight="true" outlineLevel="0" collapsed="false">
      <c r="A25" s="15" t="s">
        <v>59</v>
      </c>
      <c r="B25" s="15"/>
      <c r="C25" s="15"/>
      <c r="D25" s="15"/>
      <c r="E25" s="15"/>
      <c r="F25" s="15"/>
      <c r="G25" s="15"/>
      <c r="H25" s="15"/>
      <c r="I25" s="15"/>
      <c r="J25" s="15"/>
      <c r="K25" s="15"/>
      <c r="L25" s="15"/>
    </row>
    <row r="27" customFormat="false" ht="15" hidden="false" customHeight="false" outlineLevel="0" collapsed="false">
      <c r="A27" s="2" t="s">
        <v>60</v>
      </c>
    </row>
    <row r="28" customFormat="false" ht="30" hidden="false" customHeight="true" outlineLevel="0" collapsed="false">
      <c r="A28" s="15" t="s">
        <v>61</v>
      </c>
      <c r="B28" s="15"/>
      <c r="C28" s="15"/>
      <c r="D28" s="15"/>
      <c r="E28" s="15"/>
      <c r="F28" s="15"/>
      <c r="G28" s="15"/>
      <c r="H28" s="15"/>
      <c r="I28" s="15"/>
      <c r="J28" s="15"/>
      <c r="K28" s="15"/>
      <c r="L28" s="15"/>
    </row>
    <row r="30" customFormat="false" ht="15" hidden="false" customHeight="false" outlineLevel="0" collapsed="false">
      <c r="A30" s="16" t="s">
        <v>62</v>
      </c>
    </row>
  </sheetData>
  <mergeCells count="3">
    <mergeCell ref="A24:L24"/>
    <mergeCell ref="A25:L25"/>
    <mergeCell ref="A28:L28"/>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D20"/>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24"/>
    <col collapsed="false" customWidth="true" hidden="false" outlineLevel="0" max="3" min="2" style="0" width="42"/>
    <col collapsed="false" customWidth="true" hidden="false" outlineLevel="0" max="4" min="4" style="0" width="48"/>
  </cols>
  <sheetData>
    <row r="1" customFormat="false" ht="17.35" hidden="false" customHeight="false" outlineLevel="0" collapsed="false">
      <c r="A1" s="1" t="s">
        <v>63</v>
      </c>
    </row>
    <row r="3" customFormat="false" ht="15" hidden="false" customHeight="false" outlineLevel="0" collapsed="false">
      <c r="A3" s="6" t="s">
        <v>64</v>
      </c>
      <c r="B3" s="6" t="s">
        <v>65</v>
      </c>
      <c r="C3" s="6" t="s">
        <v>66</v>
      </c>
      <c r="D3" s="6" t="s">
        <v>67</v>
      </c>
    </row>
    <row r="4" customFormat="false" ht="23.85" hidden="false" customHeight="false" outlineLevel="0" collapsed="false">
      <c r="A4" s="17" t="s">
        <v>68</v>
      </c>
      <c r="B4" s="18" t="s">
        <v>69</v>
      </c>
      <c r="C4" s="18" t="s">
        <v>70</v>
      </c>
      <c r="D4" s="18" t="s">
        <v>71</v>
      </c>
    </row>
    <row r="5" customFormat="false" ht="23.85" hidden="false" customHeight="false" outlineLevel="0" collapsed="false">
      <c r="A5" s="17" t="s">
        <v>72</v>
      </c>
      <c r="B5" s="18" t="s">
        <v>73</v>
      </c>
      <c r="C5" s="18" t="s">
        <v>74</v>
      </c>
      <c r="D5" s="18" t="s">
        <v>75</v>
      </c>
    </row>
    <row r="6" customFormat="false" ht="23.85" hidden="false" customHeight="false" outlineLevel="0" collapsed="false">
      <c r="A6" s="17" t="s">
        <v>76</v>
      </c>
      <c r="B6" s="18" t="s">
        <v>77</v>
      </c>
      <c r="C6" s="18" t="s">
        <v>78</v>
      </c>
      <c r="D6" s="18" t="s">
        <v>79</v>
      </c>
    </row>
    <row r="7" customFormat="false" ht="23.85" hidden="false" customHeight="false" outlineLevel="0" collapsed="false">
      <c r="A7" s="17" t="s">
        <v>80</v>
      </c>
      <c r="B7" s="18" t="s">
        <v>81</v>
      </c>
      <c r="C7" s="18" t="s">
        <v>82</v>
      </c>
      <c r="D7" s="18" t="s">
        <v>83</v>
      </c>
    </row>
    <row r="8" customFormat="false" ht="15" hidden="false" customHeight="false" outlineLevel="0" collapsed="false">
      <c r="A8" s="17" t="s">
        <v>84</v>
      </c>
      <c r="B8" s="18" t="s">
        <v>85</v>
      </c>
      <c r="C8" s="18" t="s">
        <v>86</v>
      </c>
      <c r="D8" s="18" t="s">
        <v>87</v>
      </c>
    </row>
    <row r="9" customFormat="false" ht="23.85" hidden="false" customHeight="false" outlineLevel="0" collapsed="false">
      <c r="A9" s="17" t="s">
        <v>88</v>
      </c>
      <c r="B9" s="18" t="s">
        <v>89</v>
      </c>
      <c r="C9" s="18" t="s">
        <v>90</v>
      </c>
      <c r="D9" s="18" t="s">
        <v>91</v>
      </c>
    </row>
    <row r="10" customFormat="false" ht="15" hidden="false" customHeight="false" outlineLevel="0" collapsed="false">
      <c r="A10" s="17" t="s">
        <v>92</v>
      </c>
      <c r="B10" s="18" t="s">
        <v>93</v>
      </c>
      <c r="C10" s="18" t="s">
        <v>94</v>
      </c>
      <c r="D10" s="18" t="s">
        <v>95</v>
      </c>
    </row>
    <row r="11" customFormat="false" ht="15" hidden="false" customHeight="false" outlineLevel="0" collapsed="false">
      <c r="A11" s="17" t="s">
        <v>96</v>
      </c>
      <c r="B11" s="18" t="s">
        <v>97</v>
      </c>
      <c r="C11" s="18" t="s">
        <v>98</v>
      </c>
      <c r="D11" s="18" t="s">
        <v>99</v>
      </c>
    </row>
    <row r="12" customFormat="false" ht="23.85" hidden="false" customHeight="false" outlineLevel="0" collapsed="false">
      <c r="A12" s="17" t="s">
        <v>100</v>
      </c>
      <c r="B12" s="18" t="s">
        <v>101</v>
      </c>
      <c r="C12" s="18" t="s">
        <v>102</v>
      </c>
      <c r="D12" s="18" t="s">
        <v>103</v>
      </c>
    </row>
    <row r="13" customFormat="false" ht="23.85" hidden="false" customHeight="false" outlineLevel="0" collapsed="false">
      <c r="A13" s="17" t="s">
        <v>104</v>
      </c>
      <c r="B13" s="18" t="s">
        <v>105</v>
      </c>
      <c r="C13" s="18" t="s">
        <v>106</v>
      </c>
      <c r="D13" s="18" t="s">
        <v>107</v>
      </c>
    </row>
    <row r="14" customFormat="false" ht="23.85" hidden="false" customHeight="false" outlineLevel="0" collapsed="false">
      <c r="A14" s="17" t="s">
        <v>108</v>
      </c>
      <c r="B14" s="18" t="s">
        <v>109</v>
      </c>
      <c r="C14" s="18" t="s">
        <v>110</v>
      </c>
      <c r="D14" s="18" t="s">
        <v>111</v>
      </c>
    </row>
    <row r="15" customFormat="false" ht="15" hidden="false" customHeight="false" outlineLevel="0" collapsed="false">
      <c r="A15" s="17" t="s">
        <v>112</v>
      </c>
      <c r="B15" s="18" t="s">
        <v>113</v>
      </c>
      <c r="C15" s="18" t="s">
        <v>114</v>
      </c>
      <c r="D15" s="18" t="s">
        <v>115</v>
      </c>
    </row>
    <row r="17" customFormat="false" ht="15" hidden="false" customHeight="false" outlineLevel="0" collapsed="false">
      <c r="A17" s="19" t="s">
        <v>116</v>
      </c>
    </row>
    <row r="18" customFormat="false" ht="48" hidden="false" customHeight="true" outlineLevel="0" collapsed="false">
      <c r="A18" s="20" t="s">
        <v>117</v>
      </c>
      <c r="B18" s="15" t="s">
        <v>118</v>
      </c>
      <c r="C18" s="15"/>
      <c r="D18" s="15"/>
    </row>
    <row r="19" customFormat="false" ht="48" hidden="false" customHeight="true" outlineLevel="0" collapsed="false">
      <c r="A19" s="20" t="s">
        <v>119</v>
      </c>
      <c r="B19" s="15" t="s">
        <v>120</v>
      </c>
      <c r="C19" s="15"/>
      <c r="D19" s="15"/>
    </row>
    <row r="20" customFormat="false" ht="48" hidden="false" customHeight="true" outlineLevel="0" collapsed="false">
      <c r="A20" s="20" t="s">
        <v>121</v>
      </c>
      <c r="B20" s="15" t="s">
        <v>122</v>
      </c>
      <c r="C20" s="15"/>
      <c r="D20" s="15"/>
    </row>
  </sheetData>
  <mergeCells count="3">
    <mergeCell ref="B18:D18"/>
    <mergeCell ref="B19:D19"/>
    <mergeCell ref="B20:D20"/>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docProps/app.xml><?xml version="1.0" encoding="utf-8"?>
<Properties xmlns="http://schemas.openxmlformats.org/officeDocument/2006/extended-properties" xmlns:vt="http://schemas.openxmlformats.org/officeDocument/2006/docPropsVTypes">
  <Template/>
  <TotalTime>0</TotalTime>
  <Application>LibreOffice/24.2.7.2$Linux_X86_64 LibreOffice_project/420$Build-2</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2026-10-06T13:31:22Z</dcterms:created>
  <dc:creator>openpyxl</dc:creator>
  <dc:description/>
  <dc:language>en-US</dc:language>
  <cp:lastModifiedBy/>
  <dcterms:modified xsi:type="dcterms:W3CDTF">2026-10-06T13:31:24Z</dcterms:modified>
  <cp:revision>1</cp:revision>
  <dc:subject/>
  <dc:title/>
</cp:coreProperties>
</file>

<file path=docProps/custom.xml><?xml version="1.0" encoding="utf-8"?>
<Properties xmlns="http://schemas.openxmlformats.org/officeDocument/2006/custom-properties" xmlns:vt="http://schemas.openxmlformats.org/officeDocument/2006/docPropsVTypes"/>
</file>